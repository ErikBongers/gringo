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ocuments\Programming\ChromeExtensions\gringo\data\"/>
    </mc:Choice>
  </mc:AlternateContent>
  <xr:revisionPtr revIDLastSave="0" documentId="8_{67F54D97-DAD3-460C-909F-099C2B122309}" xr6:coauthVersionLast="47" xr6:coauthVersionMax="47" xr10:uidLastSave="{00000000-0000-0000-0000-000000000000}"/>
  <bookViews>
    <workbookView xWindow="-120" yWindow="-120" windowWidth="29040" windowHeight="18240" firstSheet="1" activeTab="1" xr2:uid="{8EF6DEEF-AB5F-46A3-91C1-BE5D34D627C2}"/>
  </bookViews>
  <sheets>
    <sheet name="Blad1" sheetId="1" state="hidden" r:id="rId1"/>
    <sheet name="Blad2" sheetId="2" r:id="rId2"/>
    <sheet name="Blad3" sheetId="3" state="hidden" r:id="rId3"/>
  </sheets>
  <definedNames>
    <definedName name="_xlnm._FilterDatabase" localSheetId="1" hidden="1">Blad2!$A$1:$AL$515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3" i="2" l="1"/>
  <c r="H174" i="2"/>
  <c r="H176" i="2"/>
  <c r="H177" i="2"/>
  <c r="H178" i="2"/>
  <c r="H179" i="2"/>
  <c r="H181" i="2"/>
  <c r="H182" i="2"/>
  <c r="H255" i="2"/>
  <c r="H256" i="2"/>
  <c r="H449" i="2"/>
  <c r="H450" i="2"/>
  <c r="H451" i="2"/>
  <c r="H452" i="2"/>
  <c r="H226" i="2"/>
  <c r="H227" i="2"/>
  <c r="H453" i="2"/>
  <c r="H454" i="2"/>
  <c r="H455" i="2"/>
  <c r="H456" i="2"/>
  <c r="H457" i="2"/>
  <c r="H458" i="2"/>
  <c r="H184" i="2"/>
  <c r="H185" i="2"/>
  <c r="H186" i="2"/>
  <c r="H187" i="2"/>
  <c r="H188" i="2"/>
  <c r="H189" i="2"/>
  <c r="H190" i="2"/>
  <c r="H191" i="2"/>
  <c r="H192" i="2"/>
  <c r="H50" i="2"/>
  <c r="H51" i="2"/>
  <c r="H52" i="2"/>
  <c r="H53" i="2"/>
  <c r="H54" i="2"/>
  <c r="H55" i="2"/>
  <c r="H193" i="2"/>
  <c r="H194" i="2"/>
  <c r="H195" i="2"/>
  <c r="H19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56" i="2"/>
  <c r="H57" i="2"/>
  <c r="H74" i="2"/>
  <c r="H75" i="2"/>
  <c r="H76" i="2"/>
  <c r="H77" i="2"/>
  <c r="H78" i="2"/>
  <c r="H79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197" i="2"/>
  <c r="H198" i="2"/>
  <c r="H199" i="2"/>
  <c r="H297" i="2"/>
  <c r="H298" i="2"/>
  <c r="H299" i="2"/>
  <c r="H300" i="2"/>
  <c r="H301" i="2"/>
  <c r="H302" i="2"/>
  <c r="H303" i="2"/>
  <c r="H304" i="2"/>
  <c r="H305" i="2"/>
  <c r="H306" i="2"/>
  <c r="H80" i="2"/>
  <c r="H81" i="2"/>
  <c r="H82" i="2"/>
  <c r="H83" i="2"/>
  <c r="H84" i="2"/>
  <c r="H85" i="2"/>
  <c r="H86" i="2"/>
  <c r="H87" i="2"/>
  <c r="H228" i="2"/>
  <c r="H229" i="2"/>
  <c r="H230" i="2"/>
  <c r="H231" i="2"/>
  <c r="H232" i="2"/>
  <c r="H233" i="2"/>
  <c r="H234" i="2"/>
  <c r="H235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236" i="2"/>
  <c r="H237" i="2"/>
  <c r="H238" i="2"/>
  <c r="H239" i="2"/>
  <c r="H240" i="2"/>
  <c r="H241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409" i="2"/>
  <c r="H410" i="2"/>
  <c r="H58" i="2"/>
  <c r="H59" i="2"/>
  <c r="H60" i="2"/>
  <c r="H124" i="2"/>
  <c r="H125" i="2"/>
  <c r="H126" i="2"/>
  <c r="H332" i="2"/>
  <c r="H333" i="2"/>
  <c r="H334" i="2"/>
  <c r="H335" i="2"/>
  <c r="H336" i="2"/>
  <c r="H337" i="2"/>
  <c r="H338" i="2"/>
  <c r="H339" i="2"/>
  <c r="H340" i="2"/>
  <c r="H341" i="2"/>
  <c r="H342" i="2"/>
  <c r="H411" i="2"/>
  <c r="H412" i="2"/>
  <c r="H37" i="2"/>
  <c r="H38" i="2"/>
  <c r="H39" i="2"/>
  <c r="H40" i="2"/>
  <c r="H41" i="2"/>
  <c r="H42" i="2"/>
  <c r="H43" i="2"/>
  <c r="H44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127" i="2"/>
  <c r="H128" i="2"/>
  <c r="H45" i="2"/>
  <c r="H46" i="2"/>
  <c r="H47" i="2"/>
  <c r="H48" i="2"/>
  <c r="H49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83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93" i="2"/>
  <c r="H294" i="2"/>
  <c r="H295" i="2"/>
  <c r="H296" i="2"/>
  <c r="H307" i="2"/>
  <c r="H308" i="2"/>
  <c r="H309" i="2"/>
  <c r="H310" i="2"/>
  <c r="H311" i="2"/>
  <c r="H312" i="2"/>
  <c r="H313" i="2"/>
  <c r="H343" i="2"/>
  <c r="H344" i="2"/>
  <c r="H345" i="2"/>
  <c r="H346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2" i="2"/>
  <c r="H443" i="2"/>
  <c r="H444" i="2"/>
  <c r="H445" i="2"/>
  <c r="H446" i="2"/>
  <c r="H447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172" i="2"/>
  <c r="AL631" i="1"/>
  <c r="AL630" i="1"/>
  <c r="AL629" i="1"/>
  <c r="AL628" i="1"/>
  <c r="AL627" i="1"/>
  <c r="AL626" i="1"/>
  <c r="AL625" i="1"/>
  <c r="AL624" i="1"/>
  <c r="AL623" i="1"/>
  <c r="AL622" i="1"/>
  <c r="AL621" i="1"/>
  <c r="AL620" i="1"/>
  <c r="AL619" i="1"/>
  <c r="AL618" i="1"/>
  <c r="AL617" i="1"/>
  <c r="AL616" i="1"/>
  <c r="AL615" i="1"/>
  <c r="AL614" i="1"/>
  <c r="AL613" i="1"/>
  <c r="AL612" i="1"/>
  <c r="AL611" i="1"/>
  <c r="AL610" i="1"/>
  <c r="AL609" i="1"/>
  <c r="AL608" i="1"/>
  <c r="AL607" i="1"/>
  <c r="AL606" i="1"/>
  <c r="AL605" i="1"/>
  <c r="AL604" i="1"/>
  <c r="AL603" i="1"/>
  <c r="AL602" i="1"/>
  <c r="AL601" i="1"/>
  <c r="AL600" i="1"/>
  <c r="AL599" i="1"/>
  <c r="AL598" i="1"/>
  <c r="AL597" i="1"/>
  <c r="AL596" i="1"/>
  <c r="AL595" i="1"/>
  <c r="AL594" i="1"/>
  <c r="AL593" i="1"/>
  <c r="AL592" i="1"/>
  <c r="AL591" i="1"/>
  <c r="AL590" i="1"/>
  <c r="AL589" i="1"/>
  <c r="AL588" i="1"/>
  <c r="AL587" i="1"/>
  <c r="AL586" i="1"/>
  <c r="AL585" i="1"/>
  <c r="AL584" i="1"/>
  <c r="AL583" i="1"/>
  <c r="AL582" i="1"/>
  <c r="AL581" i="1"/>
  <c r="AL580" i="1"/>
  <c r="AL579" i="1"/>
  <c r="AL578" i="1"/>
  <c r="AL577" i="1"/>
  <c r="AL576" i="1"/>
  <c r="AL575" i="1"/>
  <c r="AL574" i="1"/>
  <c r="AL573" i="1"/>
  <c r="AL572" i="1"/>
  <c r="AL571" i="1"/>
  <c r="AL570" i="1"/>
  <c r="AL569" i="1"/>
  <c r="AL568" i="1"/>
  <c r="AL567" i="1"/>
  <c r="AL566" i="1"/>
  <c r="AL565" i="1"/>
  <c r="AL564" i="1"/>
  <c r="AL563" i="1"/>
  <c r="AL562" i="1"/>
  <c r="AL561" i="1"/>
  <c r="AL560" i="1"/>
  <c r="AL559" i="1"/>
  <c r="AL558" i="1"/>
  <c r="AL557" i="1"/>
  <c r="AL556" i="1"/>
  <c r="AL555" i="1"/>
  <c r="AL554" i="1"/>
  <c r="AL553" i="1"/>
  <c r="AL552" i="1"/>
  <c r="AL551" i="1"/>
  <c r="AL550" i="1"/>
  <c r="AL549" i="1"/>
  <c r="AL548" i="1"/>
  <c r="AL547" i="1"/>
  <c r="AL546" i="1"/>
  <c r="AL545" i="1"/>
  <c r="AL544" i="1"/>
  <c r="AL543" i="1"/>
  <c r="AL542" i="1"/>
  <c r="AL541" i="1"/>
  <c r="AL540" i="1"/>
  <c r="AL539" i="1"/>
  <c r="AL538" i="1"/>
  <c r="AL537" i="1"/>
  <c r="AL536" i="1"/>
  <c r="AL535" i="1"/>
  <c r="AL534" i="1"/>
  <c r="AL533" i="1"/>
  <c r="AL532" i="1"/>
  <c r="AL531" i="1"/>
  <c r="AL530" i="1"/>
  <c r="AL529" i="1"/>
  <c r="AL528" i="1"/>
  <c r="AL527" i="1"/>
  <c r="AL526" i="1"/>
  <c r="AL525" i="1"/>
  <c r="AL524" i="1"/>
  <c r="AL523" i="1"/>
  <c r="AL522" i="1"/>
  <c r="AL521" i="1"/>
  <c r="AL520" i="1"/>
  <c r="AL519" i="1"/>
  <c r="AL518" i="1"/>
  <c r="AL517" i="1"/>
  <c r="AL516" i="1"/>
  <c r="AL515" i="1"/>
  <c r="AL514" i="1"/>
  <c r="AL513" i="1"/>
  <c r="AL512" i="1"/>
  <c r="AL511" i="1"/>
  <c r="AL510" i="1"/>
  <c r="AL509" i="1"/>
  <c r="AL508" i="1"/>
  <c r="AL507" i="1"/>
  <c r="AL506" i="1"/>
  <c r="AL505" i="1"/>
  <c r="AL504" i="1"/>
  <c r="AL503" i="1"/>
  <c r="AL502" i="1"/>
  <c r="AL501" i="1"/>
  <c r="AL500" i="1"/>
  <c r="AL499" i="1"/>
  <c r="AL498" i="1"/>
  <c r="AL497" i="1"/>
  <c r="AL496" i="1"/>
  <c r="AL495" i="1"/>
  <c r="AL494" i="1"/>
  <c r="AL493" i="1"/>
  <c r="AL492" i="1"/>
  <c r="AL491" i="1"/>
  <c r="AL490" i="1"/>
  <c r="AL489" i="1"/>
  <c r="AL488" i="1"/>
  <c r="AL487" i="1"/>
  <c r="AL486" i="1"/>
  <c r="AL485" i="1"/>
  <c r="AL484" i="1"/>
  <c r="AL483" i="1"/>
  <c r="AL482" i="1"/>
  <c r="AL481" i="1"/>
  <c r="AL480" i="1"/>
  <c r="AL479" i="1"/>
  <c r="AL478" i="1"/>
  <c r="AL477" i="1"/>
  <c r="AL476" i="1"/>
  <c r="AL475" i="1"/>
  <c r="AL474" i="1"/>
  <c r="AL473" i="1"/>
  <c r="AL472" i="1"/>
  <c r="AL471" i="1"/>
  <c r="AL470" i="1"/>
  <c r="AL469" i="1"/>
  <c r="AL468" i="1"/>
  <c r="AL467" i="1"/>
  <c r="AL466" i="1"/>
  <c r="AL465" i="1"/>
  <c r="AL464" i="1"/>
  <c r="AL463" i="1"/>
  <c r="AL462" i="1"/>
  <c r="AL461" i="1"/>
  <c r="AL460" i="1"/>
  <c r="AL459" i="1"/>
  <c r="AL458" i="1"/>
  <c r="AL457" i="1"/>
  <c r="AL456" i="1"/>
  <c r="AL455" i="1"/>
  <c r="AL454" i="1"/>
  <c r="AL453" i="1"/>
  <c r="AL452" i="1"/>
  <c r="AL451" i="1"/>
  <c r="AL450" i="1"/>
  <c r="AL449" i="1"/>
  <c r="AL448" i="1"/>
  <c r="AL447" i="1"/>
  <c r="AL446" i="1"/>
  <c r="AL445" i="1"/>
  <c r="AL444" i="1"/>
  <c r="AL443" i="1"/>
  <c r="AL442" i="1"/>
  <c r="AL441" i="1"/>
  <c r="AL440" i="1"/>
  <c r="AL439" i="1"/>
  <c r="AL438" i="1"/>
  <c r="AL437" i="1"/>
  <c r="AL436" i="1"/>
  <c r="AL435" i="1"/>
  <c r="AL434" i="1"/>
  <c r="AL433" i="1"/>
  <c r="AL432" i="1"/>
  <c r="AL431" i="1"/>
  <c r="AL430" i="1"/>
  <c r="AL429" i="1"/>
  <c r="AL428" i="1"/>
  <c r="AL427" i="1"/>
  <c r="AL426" i="1"/>
  <c r="AL425" i="1"/>
  <c r="AL424" i="1"/>
  <c r="AL423" i="1"/>
  <c r="AL422" i="1"/>
  <c r="AL421" i="1"/>
  <c r="AL420" i="1"/>
  <c r="AL419" i="1"/>
  <c r="AL418" i="1"/>
  <c r="AL417" i="1"/>
  <c r="AL416" i="1"/>
  <c r="AL415" i="1"/>
  <c r="AL414" i="1"/>
  <c r="AL413" i="1"/>
  <c r="AL412" i="1"/>
  <c r="AL411" i="1"/>
  <c r="AL410" i="1"/>
  <c r="AL409" i="1"/>
  <c r="AL408" i="1"/>
  <c r="AL407" i="1"/>
  <c r="AL406" i="1"/>
  <c r="AL405" i="1"/>
  <c r="AL404" i="1"/>
  <c r="AL403" i="1"/>
  <c r="AL402" i="1"/>
  <c r="AL401" i="1"/>
  <c r="AL400" i="1"/>
  <c r="AL399" i="1"/>
  <c r="AL398" i="1"/>
  <c r="AL397" i="1"/>
  <c r="AL396" i="1"/>
  <c r="AL395" i="1"/>
  <c r="AL394" i="1"/>
  <c r="AL393" i="1"/>
  <c r="AL392" i="1"/>
  <c r="AL391" i="1"/>
  <c r="AL390" i="1"/>
  <c r="AL389" i="1"/>
  <c r="AL388" i="1"/>
  <c r="AL387" i="1"/>
  <c r="AL386" i="1"/>
  <c r="AL385" i="1"/>
  <c r="AL384" i="1"/>
  <c r="AL383" i="1"/>
  <c r="AL382" i="1"/>
  <c r="AL381" i="1"/>
  <c r="AL380" i="1"/>
  <c r="AL379" i="1"/>
  <c r="AL378" i="1"/>
  <c r="AL377" i="1"/>
  <c r="AL376" i="1"/>
  <c r="AL375" i="1"/>
  <c r="AL374" i="1"/>
  <c r="AL373" i="1"/>
  <c r="AL372" i="1"/>
  <c r="AL371" i="1"/>
  <c r="AL370" i="1"/>
  <c r="AL369" i="1"/>
  <c r="AL368" i="1"/>
  <c r="AL367" i="1"/>
  <c r="AL366" i="1"/>
  <c r="AL365" i="1"/>
  <c r="AL364" i="1"/>
  <c r="AL363" i="1"/>
  <c r="AL362" i="1"/>
  <c r="AL361" i="1"/>
  <c r="AL360" i="1"/>
  <c r="AL359" i="1"/>
  <c r="AL358" i="1"/>
  <c r="AL357" i="1"/>
  <c r="AL356" i="1"/>
  <c r="AL355" i="1"/>
  <c r="AL354" i="1"/>
  <c r="AL353" i="1"/>
  <c r="AL352" i="1"/>
  <c r="AL351" i="1"/>
  <c r="AL350" i="1"/>
  <c r="AL349" i="1"/>
  <c r="AL348" i="1"/>
  <c r="AL347" i="1"/>
  <c r="AL346" i="1"/>
  <c r="AL345" i="1"/>
  <c r="AL344" i="1"/>
  <c r="AL343" i="1"/>
  <c r="AL342" i="1"/>
  <c r="AL341" i="1"/>
  <c r="AL340" i="1"/>
  <c r="AL339" i="1"/>
  <c r="AL338" i="1"/>
  <c r="AL337" i="1"/>
  <c r="AL336" i="1"/>
  <c r="AL335" i="1"/>
  <c r="AL334" i="1"/>
  <c r="AL333" i="1"/>
  <c r="AL332" i="1"/>
  <c r="AL331" i="1"/>
  <c r="AL330" i="1"/>
  <c r="AL329" i="1"/>
  <c r="AL328" i="1"/>
  <c r="AL327" i="1"/>
  <c r="AL326" i="1"/>
  <c r="AL325" i="1"/>
  <c r="AL324" i="1"/>
  <c r="AL323" i="1"/>
  <c r="AL322" i="1"/>
  <c r="AL321" i="1"/>
  <c r="AL320" i="1"/>
  <c r="AL319" i="1"/>
  <c r="AL318" i="1"/>
  <c r="AL317" i="1"/>
  <c r="AL316" i="1"/>
  <c r="AL315" i="1"/>
  <c r="AL314" i="1"/>
  <c r="AL313" i="1"/>
  <c r="AL312" i="1"/>
  <c r="AL311" i="1"/>
  <c r="AL310" i="1"/>
  <c r="AL309" i="1"/>
  <c r="AL308" i="1"/>
  <c r="AL307" i="1"/>
  <c r="AL306" i="1"/>
  <c r="AL305" i="1"/>
  <c r="AL304" i="1"/>
  <c r="AL303" i="1"/>
  <c r="AL302" i="1"/>
  <c r="AL301" i="1"/>
  <c r="AL300" i="1"/>
  <c r="AL299" i="1"/>
  <c r="AL298" i="1"/>
  <c r="AL297" i="1"/>
  <c r="AL296" i="1"/>
  <c r="AL295" i="1"/>
  <c r="AL294" i="1"/>
  <c r="AL293" i="1"/>
  <c r="AL292" i="1"/>
  <c r="AL291" i="1"/>
  <c r="AL290" i="1"/>
  <c r="AL289" i="1"/>
  <c r="AL288" i="1"/>
  <c r="AL287" i="1"/>
  <c r="AL286" i="1"/>
  <c r="AL285" i="1"/>
  <c r="AL284" i="1"/>
  <c r="AL283" i="1"/>
  <c r="AL282" i="1"/>
  <c r="AL281" i="1"/>
  <c r="AL280" i="1"/>
  <c r="AL279" i="1"/>
  <c r="AL278" i="1"/>
  <c r="AL277" i="1"/>
  <c r="AL276" i="1"/>
  <c r="AL275" i="1"/>
  <c r="AL274" i="1"/>
  <c r="AL273" i="1"/>
  <c r="AL272" i="1"/>
  <c r="AL271" i="1"/>
  <c r="AL270" i="1"/>
  <c r="AL269" i="1"/>
  <c r="AL268" i="1"/>
  <c r="AL267" i="1"/>
  <c r="AL266" i="1"/>
  <c r="AL265" i="1"/>
  <c r="AL264" i="1"/>
  <c r="AL263" i="1"/>
  <c r="AL262" i="1"/>
  <c r="AL261" i="1"/>
  <c r="AL260" i="1"/>
  <c r="AL259" i="1"/>
  <c r="AL258" i="1"/>
  <c r="AL257" i="1"/>
  <c r="AL256" i="1"/>
  <c r="AL255" i="1"/>
  <c r="AL254" i="1"/>
  <c r="AL253" i="1"/>
  <c r="AL252" i="1"/>
  <c r="AL251" i="1"/>
  <c r="AL250" i="1"/>
  <c r="AL249" i="1"/>
  <c r="AL248" i="1"/>
  <c r="AL247" i="1"/>
  <c r="AL246" i="1"/>
  <c r="AL245" i="1"/>
  <c r="AL244" i="1"/>
  <c r="AL243" i="1"/>
  <c r="AL242" i="1"/>
  <c r="AL241" i="1"/>
  <c r="AL240" i="1"/>
  <c r="AL239" i="1"/>
  <c r="AL238" i="1"/>
  <c r="AL237" i="1"/>
  <c r="AL236" i="1"/>
  <c r="AL235" i="1"/>
  <c r="AL234" i="1"/>
  <c r="AL233" i="1"/>
  <c r="AL232" i="1"/>
  <c r="AL231" i="1"/>
  <c r="AL230" i="1"/>
  <c r="AL229" i="1"/>
  <c r="AL228" i="1"/>
  <c r="AL227" i="1"/>
  <c r="AL226" i="1"/>
  <c r="AL225" i="1"/>
  <c r="AL224" i="1"/>
  <c r="AL223" i="1"/>
  <c r="AL222" i="1"/>
  <c r="AL221" i="1"/>
  <c r="AL220" i="1"/>
  <c r="AL219" i="1"/>
  <c r="AL218" i="1"/>
  <c r="AL217" i="1"/>
  <c r="AL216" i="1"/>
  <c r="AL215" i="1"/>
  <c r="AL214" i="1"/>
  <c r="AL213" i="1"/>
  <c r="AL212" i="1"/>
  <c r="AL211" i="1"/>
  <c r="AL210" i="1"/>
  <c r="AL209" i="1"/>
  <c r="AL208" i="1"/>
  <c r="AL207" i="1"/>
  <c r="AL206" i="1"/>
  <c r="AL205" i="1"/>
  <c r="AL204" i="1"/>
  <c r="AL203" i="1"/>
  <c r="AL202" i="1"/>
  <c r="AL201" i="1"/>
  <c r="AL200" i="1"/>
  <c r="AL199" i="1"/>
  <c r="AL198" i="1"/>
  <c r="AL197" i="1"/>
  <c r="AL196" i="1"/>
  <c r="AL195" i="1"/>
  <c r="AL194" i="1"/>
  <c r="AL193" i="1"/>
  <c r="AL192" i="1"/>
  <c r="AL191" i="1"/>
  <c r="AL190" i="1"/>
  <c r="AL189" i="1"/>
  <c r="AL188" i="1"/>
  <c r="AL187" i="1"/>
  <c r="AL186" i="1"/>
  <c r="AL185" i="1"/>
  <c r="AL184" i="1"/>
  <c r="AL183" i="1"/>
  <c r="AL182" i="1"/>
  <c r="AL181" i="1"/>
  <c r="AL180" i="1"/>
  <c r="AL179" i="1"/>
  <c r="AL178" i="1"/>
  <c r="AL177" i="1"/>
  <c r="AL176" i="1"/>
  <c r="AL175" i="1"/>
  <c r="AL174" i="1"/>
  <c r="AL173" i="1"/>
  <c r="AL172" i="1"/>
  <c r="AL171" i="1"/>
  <c r="AL170" i="1"/>
  <c r="AL169" i="1"/>
  <c r="AL168" i="1"/>
  <c r="AL167" i="1"/>
  <c r="AL166" i="1"/>
  <c r="AL165" i="1"/>
  <c r="AL164" i="1"/>
  <c r="AL163" i="1"/>
  <c r="AL162" i="1"/>
  <c r="AL161" i="1"/>
  <c r="AL160" i="1"/>
  <c r="AL159" i="1"/>
  <c r="AL158" i="1"/>
  <c r="AL157" i="1"/>
  <c r="AL156" i="1"/>
  <c r="AL155" i="1"/>
  <c r="AL154" i="1"/>
  <c r="AL153" i="1"/>
  <c r="AL152" i="1"/>
  <c r="AL151" i="1"/>
  <c r="AL150" i="1"/>
  <c r="AL149" i="1"/>
  <c r="AL148" i="1"/>
  <c r="AL147" i="1"/>
  <c r="AL146" i="1"/>
  <c r="AL145" i="1"/>
  <c r="AL144" i="1"/>
  <c r="AL143" i="1"/>
  <c r="AL142" i="1"/>
  <c r="AL141" i="1"/>
  <c r="AL140" i="1"/>
  <c r="AL139" i="1"/>
  <c r="AL138" i="1"/>
  <c r="AL137" i="1"/>
  <c r="AL136" i="1"/>
  <c r="AL135" i="1"/>
  <c r="AL134" i="1"/>
  <c r="AL133" i="1"/>
  <c r="AL132" i="1"/>
  <c r="AL131" i="1"/>
  <c r="AL130" i="1"/>
  <c r="AL129" i="1"/>
  <c r="AL128" i="1"/>
  <c r="AL127" i="1"/>
  <c r="AL126" i="1"/>
  <c r="AL125" i="1"/>
  <c r="AL124" i="1"/>
  <c r="AL123" i="1"/>
  <c r="AL122" i="1"/>
  <c r="AL121" i="1"/>
  <c r="AL120" i="1"/>
  <c r="AL119" i="1"/>
  <c r="AL118" i="1"/>
  <c r="AL117" i="1"/>
  <c r="AL116" i="1"/>
  <c r="AL115" i="1"/>
  <c r="AL114" i="1"/>
  <c r="AL113" i="1"/>
  <c r="AL112" i="1"/>
  <c r="AL111" i="1"/>
  <c r="AL110" i="1"/>
  <c r="AL109" i="1"/>
  <c r="AL108" i="1"/>
  <c r="AL107" i="1"/>
  <c r="AL106" i="1"/>
  <c r="AL105" i="1"/>
  <c r="AL104" i="1"/>
  <c r="AL103" i="1"/>
  <c r="AL102" i="1"/>
  <c r="AL101" i="1"/>
  <c r="AL100" i="1"/>
  <c r="AL99" i="1"/>
  <c r="AL98" i="1"/>
  <c r="AL97" i="1"/>
  <c r="AL96" i="1"/>
  <c r="AL95" i="1"/>
  <c r="AL94" i="1"/>
  <c r="AL93" i="1"/>
  <c r="AL92" i="1"/>
  <c r="AL91" i="1"/>
  <c r="AL90" i="1"/>
  <c r="AL89" i="1"/>
  <c r="AL88" i="1"/>
  <c r="AL87" i="1"/>
  <c r="AL86" i="1"/>
  <c r="AL85" i="1"/>
  <c r="AL84" i="1"/>
  <c r="AL83" i="1"/>
  <c r="AL82" i="1"/>
  <c r="AL81" i="1"/>
  <c r="AL80" i="1"/>
  <c r="AL79" i="1"/>
  <c r="AL78" i="1"/>
  <c r="AL77" i="1"/>
  <c r="AL76" i="1"/>
  <c r="AL75" i="1"/>
  <c r="AL74" i="1"/>
  <c r="AL73" i="1"/>
  <c r="AL72" i="1"/>
  <c r="AL71" i="1"/>
  <c r="AL70" i="1"/>
  <c r="AL69" i="1"/>
  <c r="AL68" i="1"/>
  <c r="AL67" i="1"/>
  <c r="AL66" i="1"/>
  <c r="AL65" i="1"/>
  <c r="AL64" i="1"/>
  <c r="AL63" i="1"/>
  <c r="AL62" i="1"/>
  <c r="AL61" i="1"/>
  <c r="AL60" i="1"/>
  <c r="AL59" i="1"/>
  <c r="AL58" i="1"/>
  <c r="AL57" i="1"/>
  <c r="AL56" i="1"/>
  <c r="AL55" i="1"/>
  <c r="AL54" i="1"/>
  <c r="AL53" i="1"/>
  <c r="AL52" i="1"/>
  <c r="AL51" i="1"/>
  <c r="AL50" i="1"/>
  <c r="AL49" i="1"/>
  <c r="AL48" i="1"/>
  <c r="AL47" i="1"/>
  <c r="AL46" i="1"/>
  <c r="AL45" i="1"/>
  <c r="AL44" i="1"/>
  <c r="AL43" i="1"/>
  <c r="AL42" i="1"/>
  <c r="AL41" i="1"/>
  <c r="AL40" i="1"/>
  <c r="AL39" i="1"/>
  <c r="AL38" i="1"/>
  <c r="AL37" i="1"/>
  <c r="AL36" i="1"/>
  <c r="AL35" i="1"/>
  <c r="AL34" i="1"/>
  <c r="AL33" i="1"/>
  <c r="AL32" i="1"/>
  <c r="AL31" i="1"/>
  <c r="AL30" i="1"/>
  <c r="AL29" i="1"/>
  <c r="AL28" i="1"/>
  <c r="AL27" i="1"/>
  <c r="AL26" i="1"/>
  <c r="AL25" i="1"/>
  <c r="AL24" i="1"/>
  <c r="AL23" i="1"/>
  <c r="AL22" i="1"/>
  <c r="AL21" i="1"/>
  <c r="AL20" i="1"/>
  <c r="AL19" i="1"/>
  <c r="AL18" i="1"/>
  <c r="AL17" i="1"/>
  <c r="AL16" i="1"/>
  <c r="AL15" i="1"/>
  <c r="AL14" i="1"/>
  <c r="AL13" i="1"/>
  <c r="AL12" i="1"/>
  <c r="AL11" i="1"/>
  <c r="AL10" i="1"/>
  <c r="AL9" i="1"/>
  <c r="AL8" i="1"/>
  <c r="AL7" i="1"/>
  <c r="AL6" i="1"/>
  <c r="AL5" i="1"/>
  <c r="AL4" i="1"/>
  <c r="AL3" i="1"/>
  <c r="AL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tc={A49A16AF-4AB0-4D17-A93D-89CE439EED4A}</author>
  </authors>
  <commentList>
    <comment ref="Q1" authorId="0" shapeId="0" xr:uid="{A49A16AF-4AB0-4D17-A93D-89CE439EED4A}">
      <text>
        <t>[Threaded comment]
Your version of Excel allows you to read this threaded comment; however, any edits to it will get removed if the file is opened in a newer version of Excel. Learn more: https://go.microsoft.com/fwlink/?linkid=870924
Comment:
    - unspsc moet in kleine letters, aangezien de commodity code file ook met kleine letters is opgeladen</t>
      </text>
    </comment>
  </commentList>
</comments>
</file>

<file path=xl/sharedStrings.xml><?xml version="1.0" encoding="utf-8"?>
<sst xmlns="http://schemas.openxmlformats.org/spreadsheetml/2006/main" count="11402" uniqueCount="825">
  <si>
    <t>opmerking</t>
  </si>
  <si>
    <t>ro/adhoc</t>
  </si>
  <si>
    <t>NR TEGEL</t>
  </si>
  <si>
    <t>TEGELNAAM</t>
  </si>
  <si>
    <t>AccountTypeNR</t>
  </si>
  <si>
    <t>AccountType</t>
  </si>
  <si>
    <t>LEVEL 2</t>
  </si>
  <si>
    <t>MaxAmt</t>
  </si>
  <si>
    <t>MaterialGroup</t>
  </si>
  <si>
    <t>DeliverTo</t>
  </si>
  <si>
    <t>CommonIdDomain</t>
  </si>
  <si>
    <t>ItemCategory</t>
  </si>
  <si>
    <t>Asset</t>
  </si>
  <si>
    <t>WBSElement</t>
  </si>
  <si>
    <t>SAPPurchaseGroup</t>
  </si>
  <si>
    <t>CurrForMinAndMaxAmt</t>
  </si>
  <si>
    <t>AccountCategory</t>
  </si>
  <si>
    <t>InternalOrder</t>
  </si>
  <si>
    <t>CompanyCode</t>
  </si>
  <si>
    <t>MinAmt</t>
  </si>
  <si>
    <t>CommonId</t>
  </si>
  <si>
    <t>Omschrijving tegel</t>
  </si>
  <si>
    <t>BTW-conditietabel</t>
  </si>
  <si>
    <t>btw-tarief</t>
  </si>
  <si>
    <t>L/D</t>
  </si>
  <si>
    <t>import indicator</t>
  </si>
  <si>
    <t>GeneralLedger</t>
  </si>
  <si>
    <t>Omschrijving GB</t>
  </si>
  <si>
    <t>Preferred</t>
  </si>
  <si>
    <t>SubAsset</t>
  </si>
  <si>
    <t>AccountType,ShipTo,MaxAmt,MaterialGroup,DeliverTo,CommonIdDomain,ItemCategory,Asset,WBSElement,SAPPurchaseGroup,CurrForMinAndMaxAmt,AccountCategory,InternalOrder,CompanyCode,MinAmt,CommonId,GeneralLedger,Preferred,SubAsset</t>
  </si>
  <si>
    <t>RO</t>
  </si>
  <si>
    <t>Bloemen, planten en dieren</t>
  </si>
  <si>
    <t>Maak je keuze</t>
  </si>
  <si>
    <t>Boeketten, rouwkransen en kamerplanten</t>
  </si>
  <si>
    <t>unspsc</t>
  </si>
  <si>
    <t>M</t>
  </si>
  <si>
    <t>A010</t>
  </si>
  <si>
    <t>A1</t>
  </si>
  <si>
    <t>L</t>
  </si>
  <si>
    <t>True</t>
  </si>
  <si>
    <t>Operationele werking</t>
  </si>
  <si>
    <t>K</t>
  </si>
  <si>
    <t>Recepties/vergader</t>
  </si>
  <si>
    <t>False</t>
  </si>
  <si>
    <t>Didactisch materiaal</t>
  </si>
  <si>
    <t>Representatie externen</t>
  </si>
  <si>
    <t>Representatiekosten</t>
  </si>
  <si>
    <t>intern</t>
  </si>
  <si>
    <t>13_Zmaakjekeuze</t>
  </si>
  <si>
    <t>Andere zaken</t>
  </si>
  <si>
    <t>Doorrekening binnen AG SO</t>
  </si>
  <si>
    <t>B0</t>
  </si>
  <si>
    <t>D</t>
  </si>
  <si>
    <t>Doorrek binnen AGSO</t>
  </si>
  <si>
    <t>Bomen, planten en struiken</t>
  </si>
  <si>
    <t>Kantoorkosten</t>
  </si>
  <si>
    <t>Aankoop voor doorverkoop niet onderwijs</t>
  </si>
  <si>
    <t>Aank divers n ond</t>
  </si>
  <si>
    <t>Investering</t>
  </si>
  <si>
    <t>A</t>
  </si>
  <si>
    <t>VA erfp ond/werk</t>
  </si>
  <si>
    <t>enkel adhoc</t>
  </si>
  <si>
    <t>Dierenbenodigdheden</t>
  </si>
  <si>
    <t>Dieren en benodigdheden</t>
  </si>
  <si>
    <t>A3</t>
  </si>
  <si>
    <t>Tech ben/gereeds RG</t>
  </si>
  <si>
    <t>7 &amp; 14</t>
  </si>
  <si>
    <t>Voertuigen &amp; Transport</t>
  </si>
  <si>
    <t>Aankoop/Huur rollend materieel</t>
  </si>
  <si>
    <t>Aankoop rollend materieel (auto, fiets)</t>
  </si>
  <si>
    <t>Leasing/huur voert</t>
  </si>
  <si>
    <t>Fietsen</t>
  </si>
  <si>
    <t>FD</t>
  </si>
  <si>
    <t>Technisch materiaal - aangedreven gereedschap</t>
  </si>
  <si>
    <t>Dit unspsc evengoed gebruiken voor de lasercutters en de 3D printers</t>
  </si>
  <si>
    <t>Mach en gereed</t>
  </si>
  <si>
    <t>van tegel 5 naar 6 overgebracht; ook in 14 aanwezig</t>
  </si>
  <si>
    <t>Technisch materiaal - kleine machines en gereedschappen</t>
  </si>
  <si>
    <t>6 &amp; 14</t>
  </si>
  <si>
    <t>6&amp;14</t>
  </si>
  <si>
    <t>6_Zmaakjekeuze</t>
  </si>
  <si>
    <t>Bouw en techniek</t>
  </si>
  <si>
    <t>Onderhoud en herstelling gebouw</t>
  </si>
  <si>
    <t>Bouw- en afwerkingsmaterialen 21%</t>
  </si>
  <si>
    <t>overal unspsc 30 gebruiken - tegel 6 als 14- identiek GB&amp; Accounttype als bij 31 (31 mag weg)</t>
  </si>
  <si>
    <t>14_Zmaakjekeuze</t>
  </si>
  <si>
    <t>Technisch materiaal - bouw en afwerkingsmaterialen 6%</t>
  </si>
  <si>
    <t>Technisch materiaal - elektriciteit</t>
  </si>
  <si>
    <t>Unspsc 4015 voorzien in adhoc- installaties maar algemeen, geen specificatie van de installatie=&gt; unspsc 4015 Aankoop/ huur installatie</t>
  </si>
  <si>
    <t>Aankoop installatie</t>
  </si>
  <si>
    <t>B3</t>
  </si>
  <si>
    <t>Leasing/huur RG nrol</t>
  </si>
  <si>
    <t>Ins/ma/uitr</t>
  </si>
  <si>
    <t>Elektrotoestellen, machines en gereedschappen</t>
  </si>
  <si>
    <t>ICT- materiaal</t>
  </si>
  <si>
    <t>Betaalterminaal</t>
  </si>
  <si>
    <t>IT randapparatuur en multimedia, klein ict incl. 2de hands</t>
  </si>
  <si>
    <t>Informatica mat</t>
  </si>
  <si>
    <t>Sofwarelicenties scholen</t>
  </si>
  <si>
    <t>Conc oct lic kh</t>
  </si>
  <si>
    <t>Sofwarelicenties scholen (niet pedagogisch)</t>
  </si>
  <si>
    <t>4323X</t>
  </si>
  <si>
    <t>Sofwarelicenties scholen buitenlandse leverancier</t>
  </si>
  <si>
    <t>D3</t>
  </si>
  <si>
    <t>Kantoor- en huishoud materiaal, en meubilair</t>
  </si>
  <si>
    <t>Kantoormaterialen</t>
  </si>
  <si>
    <t>(Kantoor)Benodigdheden en versiering</t>
  </si>
  <si>
    <t>Doorverkoop onderwijs (niet max fac)</t>
  </si>
  <si>
    <t>Niet maximumfactuur</t>
  </si>
  <si>
    <t>4411X</t>
  </si>
  <si>
    <t>(Kantoor)Benodigdheden en versiering buitenlandse leverancier</t>
  </si>
  <si>
    <t>Kantoormachines</t>
  </si>
  <si>
    <t>441017X</t>
  </si>
  <si>
    <t>Kantoormachines buitenlandse leverancier</t>
  </si>
  <si>
    <t>(Bescherm)kledij en schoenen, en gerelateerde diensten</t>
  </si>
  <si>
    <t>Beroeps- en veiligheidskleding en PBM</t>
  </si>
  <si>
    <t>Beroeps- en veiligheidskleding</t>
  </si>
  <si>
    <t>Aankoop werkkledij</t>
  </si>
  <si>
    <t>Maximumfactuur</t>
  </si>
  <si>
    <t>MaxFac:mat/uitstap</t>
  </si>
  <si>
    <t>4618X</t>
  </si>
  <si>
    <t>Beroeps- en veiligheidskleding buitenlandse leverancier</t>
  </si>
  <si>
    <t>8 &amp; 14</t>
  </si>
  <si>
    <t>Beroeps- en veiligheidskleding CBM (collectieve beschermmiddelen)</t>
  </si>
  <si>
    <t>Uitr en inricht</t>
  </si>
  <si>
    <t>461815X</t>
  </si>
  <si>
    <t>Beroeps- en veiligheidskleding CBM (collectieve beschermmiddelen) buitenlandse leverancier</t>
  </si>
  <si>
    <t>Persoonlijke beschermingsmiddelen (PBM)</t>
  </si>
  <si>
    <t>Persoonlijke beschermingsmiddelen (PBM) buitenlandse leverancier</t>
  </si>
  <si>
    <t>Technisch materiaal - brandinstallaties</t>
  </si>
  <si>
    <t>Onderhcontract infra</t>
  </si>
  <si>
    <t>Installaties</t>
  </si>
  <si>
    <t>Geen adhoc voorzien voor geen enkele RO, later aan te maken eventueel op aangeven van kevin</t>
  </si>
  <si>
    <t>RO uniek</t>
  </si>
  <si>
    <t xml:space="preserve">aew, waasland , tein, </t>
  </si>
  <si>
    <t>Veiligheid gebouw</t>
  </si>
  <si>
    <t>Veiligheid gebouw - brand</t>
  </si>
  <si>
    <t>B1</t>
  </si>
  <si>
    <t>Beveilig/signal geb</t>
  </si>
  <si>
    <t>Veiligheid gebouw - inbraak</t>
  </si>
  <si>
    <t>46171619A</t>
  </si>
  <si>
    <t>Veiligheid gebouw - toegang</t>
  </si>
  <si>
    <t>Schoonmaakproducten en materialen SCC FD</t>
  </si>
  <si>
    <t>Ben schoon/verz/med</t>
  </si>
  <si>
    <t>geen adhoc voorzien</t>
  </si>
  <si>
    <t>Huishoudmaterialen</t>
  </si>
  <si>
    <t>Kook- en keukengerei</t>
  </si>
  <si>
    <t>Vrije tijd en professionele leermiddelen</t>
  </si>
  <si>
    <t>speeltuigen</t>
  </si>
  <si>
    <t>Speeltuigen en valdempende ondergronden</t>
  </si>
  <si>
    <t>Spel</t>
  </si>
  <si>
    <t>Buitenspeeltuigen</t>
  </si>
  <si>
    <t>Sport</t>
  </si>
  <si>
    <t>Sportmateriaal</t>
  </si>
  <si>
    <t>Turn- en sporttoestellen</t>
  </si>
  <si>
    <t>Eten en drinken</t>
  </si>
  <si>
    <t>Dranken</t>
  </si>
  <si>
    <t>Alcoholische dranken</t>
  </si>
  <si>
    <t>Evenementen (bv infodagen &amp; personeelsfeest)</t>
  </si>
  <si>
    <t>Evenementen</t>
  </si>
  <si>
    <t>Recepties &amp; vergaderingen personeel / leerlingen</t>
  </si>
  <si>
    <t>Voeding</t>
  </si>
  <si>
    <t>Teambuilding</t>
  </si>
  <si>
    <t>Personeelsactiviteit</t>
  </si>
  <si>
    <t>Eten</t>
  </si>
  <si>
    <t>Broodjes</t>
  </si>
  <si>
    <t>Nascholing</t>
  </si>
  <si>
    <t>Opleidingskosten</t>
  </si>
  <si>
    <t>Gesubsidieerde zuiveldranken</t>
  </si>
  <si>
    <t>(Verbruik) Personeel / leerlingen</t>
  </si>
  <si>
    <t>Niet - alcoholische dranken</t>
  </si>
  <si>
    <t>Voeding (versnapering, luxe vis producten)</t>
  </si>
  <si>
    <t>Voeding (versnapering, luxe vis producten, )</t>
  </si>
  <si>
    <t>5_Zmaakjekeuze</t>
  </si>
  <si>
    <t>Huishoudtoestellen</t>
  </si>
  <si>
    <t>Huishoud- en industriële toestellen</t>
  </si>
  <si>
    <t>Medische- en verzorgingsproducten, schoonmaak</t>
  </si>
  <si>
    <t>Verzorgingsproducten</t>
  </si>
  <si>
    <t>5313X</t>
  </si>
  <si>
    <t>Verzorgingsproducten buitenlandse leverancier</t>
  </si>
  <si>
    <t>Abonnementen &amp; lidgelden</t>
  </si>
  <si>
    <t>Digitale abonnementen en lidgelden</t>
  </si>
  <si>
    <t>Lees/audio materiaal</t>
  </si>
  <si>
    <t>5511X</t>
  </si>
  <si>
    <t>Digitale abonnementen en lidgelden buitenlandse leverancier</t>
  </si>
  <si>
    <t>D1</t>
  </si>
  <si>
    <t>Leesmaterialen en leermiddelen</t>
  </si>
  <si>
    <t>Muziekboeken</t>
  </si>
  <si>
    <t>5510X</t>
  </si>
  <si>
    <t>Muziekboeken buitenlandse leverancier</t>
  </si>
  <si>
    <t>Veiligheid en pictogrammen</t>
  </si>
  <si>
    <t>Infoborden</t>
  </si>
  <si>
    <t>5512X</t>
  </si>
  <si>
    <t>Aankoop muziekinstrumenten</t>
  </si>
  <si>
    <t>Muziekinstrumenten</t>
  </si>
  <si>
    <t>Ambacht - Goud/Zilver/Diamant</t>
  </si>
  <si>
    <t>Artistiek pedagogisch materiaal</t>
  </si>
  <si>
    <t>Hand-, werkboek en e-books</t>
  </si>
  <si>
    <t>Hand-, werkboek en e-books (via uitgeverijen)</t>
  </si>
  <si>
    <t>601017X</t>
  </si>
  <si>
    <t>Hand-, werkboek en e-books buitenlandse leverancier</t>
  </si>
  <si>
    <t>Huur muziekinstrumenten</t>
  </si>
  <si>
    <t>Klei en keramiek</t>
  </si>
  <si>
    <t>Mode</t>
  </si>
  <si>
    <t>Schilderkunst</t>
  </si>
  <si>
    <t>Tuinbouw</t>
  </si>
  <si>
    <t>6010B</t>
  </si>
  <si>
    <t>Verzorging - Kapper</t>
  </si>
  <si>
    <t>6010A</t>
  </si>
  <si>
    <t>Verzorging - Schoonheidssalon</t>
  </si>
  <si>
    <t>Wetenschappen</t>
  </si>
  <si>
    <t>6010620X</t>
  </si>
  <si>
    <t>Wetenschappen buitenlandse leverancier</t>
  </si>
  <si>
    <t>geen adhoc tegel nodig 5 leveranciers onder contract</t>
  </si>
  <si>
    <t>werkmmaat, manus, bayer, verbeek, vanbroeckhoven</t>
  </si>
  <si>
    <t>7210A</t>
  </si>
  <si>
    <t>Onderhoud en herstellingsdiensten en kleine technische werken gebouw</t>
  </si>
  <si>
    <t>Schilderwerken</t>
  </si>
  <si>
    <t>claire tondelair, heyman, mertens, vankerkhof, veldeman</t>
  </si>
  <si>
    <t>geen adhoc tegel voorzien</t>
  </si>
  <si>
    <t>krinkels greencare</t>
  </si>
  <si>
    <t>Groenbeheer</t>
  </si>
  <si>
    <t>Groenonderhoud</t>
  </si>
  <si>
    <t>de herstelling oplaadpunten in tegel onderh&amp; herst op unspsc 7210 keuring machine, inst. En gebouw</t>
  </si>
  <si>
    <t>7210B</t>
  </si>
  <si>
    <t>FD: namen HVAC en sanitair samengevoegd in de 1 subgroeptegel + opsplitsing adhoc form in OG en RG omwille van de btw =&gt; ook in de catalogi 2 lijnen voorzien voor OG en RG</t>
  </si>
  <si>
    <t>721512A</t>
  </si>
  <si>
    <t>Technisch materiaal - HVAC en sanitaire onderdelen OG</t>
  </si>
  <si>
    <t>721512B</t>
  </si>
  <si>
    <t>Technisch materiaal - HVAC en sanitaire onderdelen RG</t>
  </si>
  <si>
    <t>desco</t>
  </si>
  <si>
    <t>721512C</t>
  </si>
  <si>
    <t>721512D</t>
  </si>
  <si>
    <t>enkel in 14, onder installaties</t>
  </si>
  <si>
    <t>Technisch materiaal - oplaadpunten</t>
  </si>
  <si>
    <t>7 &amp; 11</t>
  </si>
  <si>
    <t>11_Zmaakjekeuze</t>
  </si>
  <si>
    <t>Uitstappen, opleidingen en lesgevers</t>
  </si>
  <si>
    <t>781118C</t>
  </si>
  <si>
    <t>Meerdaagse uitstap vervoer binnenland</t>
  </si>
  <si>
    <t>Max fac (meerdaagse)</t>
  </si>
  <si>
    <t>Uitstappen</t>
  </si>
  <si>
    <t>MaxFac:meerdaagse</t>
  </si>
  <si>
    <t>781118E</t>
  </si>
  <si>
    <t>Meerdaagse uitstap vervoer binnenland pref.</t>
  </si>
  <si>
    <t>Kost uitstap n doorg</t>
  </si>
  <si>
    <t>Voor SEO accounttype 6 met GB 6030000200 toegevoegd</t>
  </si>
  <si>
    <t>781118G</t>
  </si>
  <si>
    <t>Meerdaagse uitstap vervoer buitenland</t>
  </si>
  <si>
    <t>781118F</t>
  </si>
  <si>
    <t>Meerdaagse uitstap vervoer buitenland pref.</t>
  </si>
  <si>
    <t>781118B</t>
  </si>
  <si>
    <t>Verplaatsing/ vervoer daguitstap binnenland</t>
  </si>
  <si>
    <t>781118D</t>
  </si>
  <si>
    <t>Verplaatsing/ vervoer daguitstap binnenland pref.</t>
  </si>
  <si>
    <t>Publiciteit, merchandising en communicatie</t>
  </si>
  <si>
    <t>Attentiebeleid</t>
  </si>
  <si>
    <t>801416X</t>
  </si>
  <si>
    <t>Attentiebeleid- geschenken buitenlandse leverancier incl. pref</t>
  </si>
  <si>
    <t>801416C</t>
  </si>
  <si>
    <t>Attentiebeleid- geschenken pref.</t>
  </si>
  <si>
    <t>Merchandising en citydressing</t>
  </si>
  <si>
    <t>Projectwerking</t>
  </si>
  <si>
    <t>Projecten</t>
  </si>
  <si>
    <t>Online diensten</t>
  </si>
  <si>
    <t>Online diensten - digitale marketing</t>
  </si>
  <si>
    <t>Publi/advertenties</t>
  </si>
  <si>
    <t>geen adhoc tegel gemaakt want mci heeft nu RO Ants- adhoc op buitenlands leverancier aan te maken als blijkt dat nodig is</t>
  </si>
  <si>
    <t>801716X</t>
  </si>
  <si>
    <t>Online diensten - digitale marketing buitenlandse leverancier</t>
  </si>
  <si>
    <t>Online diensten - publiciteit</t>
  </si>
  <si>
    <t>8017X</t>
  </si>
  <si>
    <t>Online diensten - publiciteit buitenlandse leverancier</t>
  </si>
  <si>
    <t>Online diensten - sociale media</t>
  </si>
  <si>
    <t>8017160X</t>
  </si>
  <si>
    <t>Online diensten - sociale media buitenlandse leverancier</t>
  </si>
  <si>
    <t>Consultancy, studies, zakelijke &amp; artistieke diensten</t>
  </si>
  <si>
    <t>Zakelijke diensten</t>
  </si>
  <si>
    <t>Nieuwjaarsfeest</t>
  </si>
  <si>
    <t>Moet Groep Arthur alleen in tegel 12/mci blijven ook onder  groepstegel 3- Events komen ?</t>
  </si>
  <si>
    <t>Kopieerwerk - uitbesteed</t>
  </si>
  <si>
    <t>Drukwerk cursus (seo,vwo)</t>
  </si>
  <si>
    <t>Drukwerk</t>
  </si>
  <si>
    <t>geen adhoc tegel gemaakt</t>
  </si>
  <si>
    <t>8212X</t>
  </si>
  <si>
    <t>Drukwerk via drukwerkportaal</t>
  </si>
  <si>
    <t>Honoraria consultant</t>
  </si>
  <si>
    <t>Consultancy</t>
  </si>
  <si>
    <t>Andere erelonen/verg</t>
  </si>
  <si>
    <t>Catering Internaten</t>
  </si>
  <si>
    <t>Restaurants</t>
  </si>
  <si>
    <t>Restaurantkosten</t>
  </si>
  <si>
    <t>901015X</t>
  </si>
  <si>
    <t>Restaurantkosten buitenland</t>
  </si>
  <si>
    <t>7 &amp;11</t>
  </si>
  <si>
    <t>9015B</t>
  </si>
  <si>
    <t>Daguitstap activiteit binnenland</t>
  </si>
  <si>
    <t>9015D</t>
  </si>
  <si>
    <t>Daguitstap activiteit buitenland incl. pref</t>
  </si>
  <si>
    <t>9015A</t>
  </si>
  <si>
    <t>Daguitstap inkomgeld binnenland</t>
  </si>
  <si>
    <t>9015C</t>
  </si>
  <si>
    <t>Daguitstap inkomgeld buitenland incl. pref</t>
  </si>
  <si>
    <t>Daguitstap ZOO/ Planckendael</t>
  </si>
  <si>
    <t>vanaf 01/03/2026 verblijf hotel van 6% naar 12%</t>
  </si>
  <si>
    <t>Meerdaagse uitstap  - verblijf en maaltijden binnenland</t>
  </si>
  <si>
    <t>B2</t>
  </si>
  <si>
    <t>false</t>
  </si>
  <si>
    <t>9011X</t>
  </si>
  <si>
    <t>Meerdaagse uitstap  - verblijf en maaltijden buitenland</t>
  </si>
  <si>
    <t>9015BB</t>
  </si>
  <si>
    <t>Meerdaagse uitstap activiteit binnenland</t>
  </si>
  <si>
    <t>9015DD</t>
  </si>
  <si>
    <t>Meerdaagse uitstap activiteit buitenland incl. prefin</t>
  </si>
  <si>
    <t>9015AA</t>
  </si>
  <si>
    <t>Meerdaagse uitstap inkomgeld binnenland</t>
  </si>
  <si>
    <t>9015CC</t>
  </si>
  <si>
    <t>Meerdaagse uitstap inkomgeld buitenland incl. pref</t>
  </si>
  <si>
    <t>Wasserij</t>
  </si>
  <si>
    <t>Automaten</t>
  </si>
  <si>
    <t>Automaten (huur)</t>
  </si>
  <si>
    <t>Automaten (verbruik, bidons en toebehoren waterkoeler)</t>
  </si>
  <si>
    <t>1_Zmaakjekeuze</t>
  </si>
  <si>
    <t>Smakelijke scholen  (boterham)</t>
  </si>
  <si>
    <t>Smakelijke scholen (snack)</t>
  </si>
  <si>
    <t>Smakelijke scholen (soep)</t>
  </si>
  <si>
    <t>2_Zmaakjekeuze</t>
  </si>
  <si>
    <t>Opslagmaterialen</t>
  </si>
  <si>
    <t>2411X</t>
  </si>
  <si>
    <t>Opslagmaterialen buitenlandse leverancier</t>
  </si>
  <si>
    <t>Cartridges</t>
  </si>
  <si>
    <t>441031X</t>
  </si>
  <si>
    <t>Cartridges buitenlandse leverancier</t>
  </si>
  <si>
    <t>Verzendkosten</t>
  </si>
  <si>
    <t>Verzendingskosten</t>
  </si>
  <si>
    <t>Onderhoudsmaterialen en -producten</t>
  </si>
  <si>
    <t>Textiel</t>
  </si>
  <si>
    <t>561017 niet gemapt, toont geen accountType in TEst? In A150  aangepast naar 561017 =&gt; ook in PROD zichtbaar maar</t>
  </si>
  <si>
    <t>toegevoegd op 29/01</t>
  </si>
  <si>
    <t>Meubilair</t>
  </si>
  <si>
    <t>Kantoormeubilair</t>
  </si>
  <si>
    <t>5612A</t>
  </si>
  <si>
    <t>Kleutermeubilair</t>
  </si>
  <si>
    <t>5612B</t>
  </si>
  <si>
    <t>Onderwijsmeubilair</t>
  </si>
  <si>
    <t>Outdoor meubilair</t>
  </si>
  <si>
    <t>731521A</t>
  </si>
  <si>
    <t>Onderhoud &amp; herstelling meubilair</t>
  </si>
  <si>
    <t>Onderh/herst RG</t>
  </si>
  <si>
    <t>RO Digipolis</t>
  </si>
  <si>
    <t>(Kleur)kopieën</t>
  </si>
  <si>
    <t>3_Zmaakjekeuze</t>
  </si>
  <si>
    <t>(Sport) Fysiobenodigdheden</t>
  </si>
  <si>
    <t>4225X</t>
  </si>
  <si>
    <t>(Sport) Fysiobenodigdheden buitenlandse leverancier</t>
  </si>
  <si>
    <t>Fitnesstoestellen</t>
  </si>
  <si>
    <t>Sportvoeding</t>
  </si>
  <si>
    <t>Kranten</t>
  </si>
  <si>
    <t>A0</t>
  </si>
  <si>
    <t>Audio &amp; grafisch materiaal</t>
  </si>
  <si>
    <t>benaming aangepas van Fietsonderdelen naar auto -en fietsonderdelen</t>
  </si>
  <si>
    <t>6010C</t>
  </si>
  <si>
    <t>Auto -en fietsonderdelen</t>
  </si>
  <si>
    <t>BIB - boeken</t>
  </si>
  <si>
    <t>601023X</t>
  </si>
  <si>
    <t>BIB - boeken buitenlandse leverancier</t>
  </si>
  <si>
    <t>Knutsel en educatief materiaal</t>
  </si>
  <si>
    <t>6012X</t>
  </si>
  <si>
    <t>Knutsel en educatief materiaal buitenlandse leverancier</t>
  </si>
  <si>
    <t>Schoolagenda</t>
  </si>
  <si>
    <t>Spelmateriaal</t>
  </si>
  <si>
    <t>6014X</t>
  </si>
  <si>
    <t>Spelmateriaal buitenlandse leverancier</t>
  </si>
  <si>
    <t>601060X</t>
  </si>
  <si>
    <t>Startpakketten ( seo en vwo)</t>
  </si>
  <si>
    <t>Techniek en bouw - afwerkingsmaterialen</t>
  </si>
  <si>
    <t>Techniek en bouw - behang en verven</t>
  </si>
  <si>
    <t>Techniek en bouw - elektriciteit</t>
  </si>
  <si>
    <t>Techniek en bouw - hout en schrijnwerk</t>
  </si>
  <si>
    <t>tegel scholen: namen HVAC en sanitair samengevoegd in de 1 subgroeptegel</t>
  </si>
  <si>
    <t>Techniek en bouw - HVAC en sanitaire onderdelen</t>
  </si>
  <si>
    <t>601062A</t>
  </si>
  <si>
    <t>Techniek en bouw - machines en gereedschappen</t>
  </si>
  <si>
    <t>Techniek en bouw - mechanica en carosserie</t>
  </si>
  <si>
    <t>Techniek en bouw - metaal en lastechnieken</t>
  </si>
  <si>
    <t>mag weg</t>
  </si>
  <si>
    <t>601062B</t>
  </si>
  <si>
    <t>Techniek en bouw - sanitair</t>
  </si>
  <si>
    <t>601060A</t>
  </si>
  <si>
    <t>Testmateriaal CLB</t>
  </si>
  <si>
    <t>Toetsmaterialen</t>
  </si>
  <si>
    <t>6010600X</t>
  </si>
  <si>
    <t>Toetsmaterialen buitenlandse leverancier</t>
  </si>
  <si>
    <t>60102310 vakboeken en vakliteratuur tesamen genomen</t>
  </si>
  <si>
    <t>Vakboeken en vakliteratuur</t>
  </si>
  <si>
    <t>6010231X vakboeken en vakliteratuur buitenlandse leverancier ook tesamen genomen</t>
  </si>
  <si>
    <t>6010231X</t>
  </si>
  <si>
    <t>Vakboeken en vakliteratuur buitenlandse leverancier</t>
  </si>
  <si>
    <t>Vakliteratuur</t>
  </si>
  <si>
    <t>Vakliteratuur buitenlandse leverancier</t>
  </si>
  <si>
    <t>Verzorging - Zorg</t>
  </si>
  <si>
    <t>731521C</t>
  </si>
  <si>
    <t>Onderhoud en herstellingen speeltuigen</t>
  </si>
  <si>
    <t>731521B</t>
  </si>
  <si>
    <t>Onderhoud en herstellingen sporttoestellen</t>
  </si>
  <si>
    <t>731521G</t>
  </si>
  <si>
    <t>Onderhoud/Herstelling muziekinstrumenten</t>
  </si>
  <si>
    <t>Events</t>
  </si>
  <si>
    <t>Events- Huur zaal</t>
  </si>
  <si>
    <t>RO STAD</t>
  </si>
  <si>
    <t>801315A</t>
  </si>
  <si>
    <t>Events- Huur zaal STAD</t>
  </si>
  <si>
    <t>801315A vervangen met 8013 want 2 verschillende GB en dat gaat niet!</t>
  </si>
  <si>
    <t>Huur zaal/sporthal/zwembad van stad</t>
  </si>
  <si>
    <t>Huur gebouwen</t>
  </si>
  <si>
    <t>Keuring speeltuigen</t>
  </si>
  <si>
    <t>Controle/keuring RG</t>
  </si>
  <si>
    <t>Keuring sporttoestellen</t>
  </si>
  <si>
    <t>Schoolfotograf</t>
  </si>
  <si>
    <t>Schoolfotograaf</t>
  </si>
  <si>
    <t>Events - Huurmateriaal</t>
  </si>
  <si>
    <t>Events - Huurmateriaal STAD</t>
  </si>
  <si>
    <t>4_Zmaakjekeuze</t>
  </si>
  <si>
    <t>Tuin- en landbouw producten</t>
  </si>
  <si>
    <t>Brandstof aangedreven gereedschap</t>
  </si>
  <si>
    <t>Medische apparatuur</t>
  </si>
  <si>
    <t>AED toestellen</t>
  </si>
  <si>
    <t>3D Printers en lasercutters</t>
  </si>
  <si>
    <t>Apple producten</t>
  </si>
  <si>
    <t>Geluidsinstallatie</t>
  </si>
  <si>
    <t>4321159X</t>
  </si>
  <si>
    <t>Klein ICT materiaal buitenlandse leverancier</t>
  </si>
  <si>
    <t>Laptops en chromebooks</t>
  </si>
  <si>
    <t>Oplaadkasten</t>
  </si>
  <si>
    <t>Presentatiematerialen en beamers</t>
  </si>
  <si>
    <t>TV &amp; Telefonie</t>
  </si>
  <si>
    <t>TV &amp; Internet &amp; Telefonie</t>
  </si>
  <si>
    <t>Telecommunicatie</t>
  </si>
  <si>
    <t>Industriële toestellen</t>
  </si>
  <si>
    <t>van tegel 5 naar 3 leermiddelen gebracht</t>
  </si>
  <si>
    <t>Leermethodes</t>
  </si>
  <si>
    <t>601011X</t>
  </si>
  <si>
    <t>Leermethodes buitenlandse leverancier</t>
  </si>
  <si>
    <t>Onderhoud &amp; Herstelling</t>
  </si>
  <si>
    <t>Onderhoud &amp; Herstelling elektrisch gereedschap</t>
  </si>
  <si>
    <t>731521D</t>
  </si>
  <si>
    <t>Onderhoud &amp; Herstelling huishoudtoestellen &amp; industriële toestellen</t>
  </si>
  <si>
    <t>731521E</t>
  </si>
  <si>
    <t>Onderhoud &amp; Herstelling kantoormachines</t>
  </si>
  <si>
    <t>Onderhoud &amp; Herstelling machine / werktuigen</t>
  </si>
  <si>
    <t>731521F</t>
  </si>
  <si>
    <t>Onderhoud &amp; Herstelling medische apparatuur</t>
  </si>
  <si>
    <t>Onderhoud &amp; Herstelling technische installatie</t>
  </si>
  <si>
    <t>Leasing copieermachine</t>
  </si>
  <si>
    <t>Leas in/ma/uitr</t>
  </si>
  <si>
    <t>Keuringsdiensten</t>
  </si>
  <si>
    <t>Keuringsdiensten technische installatie RG</t>
  </si>
  <si>
    <t>Onderhoud &amp; Herstelling beamers</t>
  </si>
  <si>
    <t>Onderhoud &amp; Herstelling betaalterminal</t>
  </si>
  <si>
    <t>Onderhoud &amp; Herstelling computer &amp; werkplekken</t>
  </si>
  <si>
    <t>Onderhoud &amp; Herstelling presentatiematerialen</t>
  </si>
  <si>
    <t>geen adhoc tegel nodig</t>
  </si>
  <si>
    <t>Brandstof verwarming</t>
  </si>
  <si>
    <t>Brandstoffen verwarming</t>
  </si>
  <si>
    <t>Technisch materiaal - (niet) aangedreven rollend materieel (transpallet, stellingen…)</t>
  </si>
  <si>
    <t>Brandblustoestellen</t>
  </si>
  <si>
    <t>Afvalbeheer</t>
  </si>
  <si>
    <t>Afval container (gft en papier)</t>
  </si>
  <si>
    <t>Speciale afvalkost</t>
  </si>
  <si>
    <t>Afvalstickers</t>
  </si>
  <si>
    <t>Sleutels en slotenmakerijdiensten</t>
  </si>
  <si>
    <t>Afvalbeheer - sorteerstraatje</t>
  </si>
  <si>
    <t>Ophalen grofvuil/ afvalcontainers</t>
  </si>
  <si>
    <t>Ophaling gevaarlijk afval</t>
  </si>
  <si>
    <t>Huur infrastructuur</t>
  </si>
  <si>
    <t>Huur infrastructuur STAD</t>
  </si>
  <si>
    <t>Vergunning gebouw en omgeving</t>
  </si>
  <si>
    <t>Omgevingsvergunning</t>
  </si>
  <si>
    <t>Controle/keuring geb</t>
  </si>
  <si>
    <t>7_Zmaakjekeuze</t>
  </si>
  <si>
    <t>Brandstof dienstvoertuigen</t>
  </si>
  <si>
    <t>Brandstof roll mat</t>
  </si>
  <si>
    <t>Aankoop/Huur rollend materieel (fietsen)</t>
  </si>
  <si>
    <t>Huur rollend materieel (auto, fiets)</t>
  </si>
  <si>
    <t>Leasing/huur fiets</t>
  </si>
  <si>
    <t>openbaar vervoer toegevoegd wegens btw verschil</t>
  </si>
  <si>
    <t>Dienstverplaatsingen</t>
  </si>
  <si>
    <t>Verplaatsing</t>
  </si>
  <si>
    <t>7811A</t>
  </si>
  <si>
    <t>Dienstverplaatsing openbaar vervoer</t>
  </si>
  <si>
    <t>Reis en verblijfkost</t>
  </si>
  <si>
    <t>7811B</t>
  </si>
  <si>
    <t>Dienstverplaatsing pref.</t>
  </si>
  <si>
    <t>geen adhoc tegel nodig; wettelijke controle en plaatsen</t>
  </si>
  <si>
    <t>Keuring rollend materieel</t>
  </si>
  <si>
    <t>Controle/keuring r m</t>
  </si>
  <si>
    <t>enkel unspsc 781815 in tegel 7 en 14  gebruiken aangezien identieke GB en accountType</t>
  </si>
  <si>
    <t>Onderhoud en herstellingen rollend materieel</t>
  </si>
  <si>
    <t>Onderh/herst rol mat</t>
  </si>
  <si>
    <t>Verhuis</t>
  </si>
  <si>
    <t>Verhuiskosten</t>
  </si>
  <si>
    <t>moet deze verplaatsing voor SEO ook accountType  6 Doorverkoop onderwijs (niet max fac) met GB 6030000200  krijgen?</t>
  </si>
  <si>
    <t>7811C</t>
  </si>
  <si>
    <t>Verplaatsing - taxivervoer</t>
  </si>
  <si>
    <t>alle vervoer (bus en taxi) onder 1 tegel gebracht; omschrijving aangevuld met medisch onderzoek</t>
  </si>
  <si>
    <t>781118A</t>
  </si>
  <si>
    <t>Verplaatsing - zwemvervoer en medisch onderzoek</t>
  </si>
  <si>
    <t>7811D</t>
  </si>
  <si>
    <t>Verplaatsing projecten</t>
  </si>
  <si>
    <t>7811E</t>
  </si>
  <si>
    <t>Verplaatsing projecten pref.</t>
  </si>
  <si>
    <t>7811I</t>
  </si>
  <si>
    <t>Verplaatsing reiskosten externen</t>
  </si>
  <si>
    <t>Wijk-werker</t>
  </si>
  <si>
    <t>7811J</t>
  </si>
  <si>
    <t>Verplaatsing wijk-werker</t>
  </si>
  <si>
    <t>Wijkwerkcheques</t>
  </si>
  <si>
    <t>Opleiding &amp; nascholing</t>
  </si>
  <si>
    <t>7811F</t>
  </si>
  <si>
    <t>Verplaatsingskosten nascholing binnenland</t>
  </si>
  <si>
    <t>7811G</t>
  </si>
  <si>
    <t>Verplaatsingskosten nascholing binnenland pref.</t>
  </si>
  <si>
    <t>7811H</t>
  </si>
  <si>
    <t>Verplaatsingskosten nascholing buitenland incl. pref</t>
  </si>
  <si>
    <t>7811K</t>
  </si>
  <si>
    <t>Verplaatsingskosten teambuilding binnenland</t>
  </si>
  <si>
    <t>7811L</t>
  </si>
  <si>
    <t>Verplaatsingskosten teambuilding binnenland pref.</t>
  </si>
  <si>
    <t>7811M</t>
  </si>
  <si>
    <t>Verplaatsingskosten teambuilding buitenland incl. pref</t>
  </si>
  <si>
    <t>8_Zmaakjekeuze</t>
  </si>
  <si>
    <t>Sportkleding en sportschoenen</t>
  </si>
  <si>
    <t>5310X</t>
  </si>
  <si>
    <t>Sportkleding en sportschoenen buitenlandse leverancier</t>
  </si>
  <si>
    <t>Onderhoud werkkleding en andere artikelen</t>
  </si>
  <si>
    <t>Wasserij BUO</t>
  </si>
  <si>
    <t>9_Zmaakjekeuze</t>
  </si>
  <si>
    <t>Orthopedische &amp; ergonomische materialen</t>
  </si>
  <si>
    <t>Med verzorg/hygiëne</t>
  </si>
  <si>
    <t>4224X</t>
  </si>
  <si>
    <t>Orthopedische &amp; ergonomische materialen buitenlandse leverancier</t>
  </si>
  <si>
    <t>Revalidatie en mobiliteitshulpmiddelen</t>
  </si>
  <si>
    <t>422115X</t>
  </si>
  <si>
    <t>Revalidatie en mobiliteitshulpmiddelen buitenlandse leverancier</t>
  </si>
  <si>
    <t>Schoonmaakproducten en reinigingsmiddelen</t>
  </si>
  <si>
    <t>Reinigingsmiddelen en hygiëne producten scholen</t>
  </si>
  <si>
    <t>Farmaceutische producten en EHBO koffers</t>
  </si>
  <si>
    <t>enkel buiten RO d.i product in de farmacie kopen om door arts te zetten</t>
  </si>
  <si>
    <t>Vaccinatie</t>
  </si>
  <si>
    <t>10_Zmaakjekeuze</t>
  </si>
  <si>
    <t>801416B</t>
  </si>
  <si>
    <t>Representatie - geschenken externen</t>
  </si>
  <si>
    <t>801416A</t>
  </si>
  <si>
    <t>Attentiebeleid- geschenken personeel / leerlingen</t>
  </si>
  <si>
    <t>Giften</t>
  </si>
  <si>
    <t>Sponsoring en giften</t>
  </si>
  <si>
    <t>Sponsoring en giften (aankopen inzamelacties)</t>
  </si>
  <si>
    <t>Giften/inzamel</t>
  </si>
  <si>
    <t>Lesgevers</t>
  </si>
  <si>
    <t>Gastspreker verplaatsingskosten incl. pref.</t>
  </si>
  <si>
    <t>Gastsprekers educatieve diensten</t>
  </si>
  <si>
    <t>8613X</t>
  </si>
  <si>
    <t>Gastsprekers educatieve diensten buitenlandse leverancier</t>
  </si>
  <si>
    <t>Gastsprekers projecten</t>
  </si>
  <si>
    <t>8614X</t>
  </si>
  <si>
    <t>Gastsprekers projecten buitenlandse leverancier</t>
  </si>
  <si>
    <t>Nascholing ICT Vlaanderen</t>
  </si>
  <si>
    <t>Spec nascholingsgeld</t>
  </si>
  <si>
    <t>Nascholing, cursus en vorming (OVSG, Universiteit Antwperpen)</t>
  </si>
  <si>
    <t>861018X</t>
  </si>
  <si>
    <t>Nascholing, cursus en vorming buitenland</t>
  </si>
  <si>
    <t>861018Z</t>
  </si>
  <si>
    <t>Nascholing, cursus en vorming buitenlandse leverancier</t>
  </si>
  <si>
    <t>Nascholing, cursus en vorming commerciële partner (BE)</t>
  </si>
  <si>
    <t>861321X</t>
  </si>
  <si>
    <t>Teambuilding buitenland - buitenlandse leverancier</t>
  </si>
  <si>
    <t>Zwemmonitor/ Zwemleraar</t>
  </si>
  <si>
    <t>Honoraria lesgevers</t>
  </si>
  <si>
    <t>12_Zmaakjekeuze</t>
  </si>
  <si>
    <t>Cheque WIJK-WERKEN</t>
  </si>
  <si>
    <t>Accor/Edenred</t>
  </si>
  <si>
    <t>Moet RO wijkwerker via VDAB in tegel 12/ personeel blijven en/of ook onder andere groepstegel bv 3???</t>
  </si>
  <si>
    <t>Inschrijvingsgeld wijk-werker</t>
  </si>
  <si>
    <t>Artistieke diensten</t>
  </si>
  <si>
    <t>Auteursrechten SEMU</t>
  </si>
  <si>
    <t>Auteursrechten</t>
  </si>
  <si>
    <t>Auteursrechten: SABAM/UNISONO</t>
  </si>
  <si>
    <t>Ereloon advocaten = landingspagina omdat er veel kunnen zijn; de buiten RO tegel op dezelfde niveau als de landingspagina van de RO;</t>
  </si>
  <si>
    <t>Erelonen advocaten</t>
  </si>
  <si>
    <t>Honoraria advocaten</t>
  </si>
  <si>
    <t>Gerechtsdeurwaarder</t>
  </si>
  <si>
    <t>Honoraria ger deurw</t>
  </si>
  <si>
    <t>Honoraria juryleden</t>
  </si>
  <si>
    <t>Vergoeding juryleden</t>
  </si>
  <si>
    <t>Interim personeel</t>
  </si>
  <si>
    <t>Uitzend en interims</t>
  </si>
  <si>
    <t>Schadevergoedingen</t>
  </si>
  <si>
    <t>Modellen</t>
  </si>
  <si>
    <t>Tolken via organisatie</t>
  </si>
  <si>
    <t>Bedrijfsrevisor</t>
  </si>
  <si>
    <t>Honoraria reviso/acc</t>
  </si>
  <si>
    <t>Burgerlijke aansprakelijkheid incl Bescherming Mandatarissen en bestuurdersaansprakelijkheid</t>
  </si>
  <si>
    <t>Burgerlijke aansprakelijkheid</t>
  </si>
  <si>
    <t>Verzekeringen gebouwen</t>
  </si>
  <si>
    <t>Brandverzekering</t>
  </si>
  <si>
    <t>Verzekeringen kunstwerken</t>
  </si>
  <si>
    <t>Andere verzekeringen</t>
  </si>
  <si>
    <t>Verzekeringen rollend materiaal (auto, fiets)</t>
  </si>
  <si>
    <t>Voertuigverzekering</t>
  </si>
  <si>
    <t>Verzekeringen rollend materiaal (machines)</t>
  </si>
  <si>
    <t>geen buiten RO aangemaakt; d.i. product + prestatie door IDEWE</t>
  </si>
  <si>
    <t>EDPBW</t>
  </si>
  <si>
    <t>Arbeidsgenees dienst</t>
  </si>
  <si>
    <t>Medische begeleiding en vergoeding artsen</t>
  </si>
  <si>
    <t>Vergoeding artsen</t>
  </si>
  <si>
    <t>RAPSI</t>
  </si>
  <si>
    <t>Vaccinatie  - IDEWE</t>
  </si>
  <si>
    <t>Ziektecontrole</t>
  </si>
  <si>
    <t>Belastingen en/of taksen</t>
  </si>
  <si>
    <t>9316D</t>
  </si>
  <si>
    <t>Belastingen STAD ANTWERPEN</t>
  </si>
  <si>
    <t>Andere belast/taks</t>
  </si>
  <si>
    <t>Fiscale boetes</t>
  </si>
  <si>
    <t>9316C</t>
  </si>
  <si>
    <t>FOD - Heffing / toelating verdeling voedsel</t>
  </si>
  <si>
    <t>9316B</t>
  </si>
  <si>
    <t>FOD - Heffing waterverontreiniging</t>
  </si>
  <si>
    <t>Milieu/waterheffing</t>
  </si>
  <si>
    <t>9316A</t>
  </si>
  <si>
    <t>FOD - Verkeersbelasting</t>
  </si>
  <si>
    <t>Verkeersheffingen</t>
  </si>
  <si>
    <t>Sociaal Fonds Diesterweg</t>
  </si>
  <si>
    <t>9316E</t>
  </si>
  <si>
    <t>Terugvordering Sociaal Fonds</t>
  </si>
  <si>
    <t>Schuld soc fonds/Die</t>
  </si>
  <si>
    <t>Lidmaatschap</t>
  </si>
  <si>
    <t>Bijdr/lidmaatschap</t>
  </si>
  <si>
    <t>7811N</t>
  </si>
  <si>
    <t>Verplaatsingsvergoeding  (sociaal abonnement)</t>
  </si>
  <si>
    <t>Verplaatsingvergoeding</t>
  </si>
  <si>
    <t>projectwerking</t>
  </si>
  <si>
    <t>8010X</t>
  </si>
  <si>
    <t>Projectwerking buitenlandse leverancier</t>
  </si>
  <si>
    <t>Uitzonderlijke kost</t>
  </si>
  <si>
    <t>801099X</t>
  </si>
  <si>
    <t>Uitzonderlijke kost - vervoer</t>
  </si>
  <si>
    <t>Aankoop rollend materieel (auto, fietsen)</t>
  </si>
  <si>
    <t>Technisch materiaal - hout en schrijnwerk</t>
  </si>
  <si>
    <t>Technisch materiaal - metaal</t>
  </si>
  <si>
    <t>Technisch materiaal - behang en verven</t>
  </si>
  <si>
    <t>Huur installatie</t>
  </si>
  <si>
    <t>Veiligheid gebouw - software</t>
  </si>
  <si>
    <t>4618A</t>
  </si>
  <si>
    <t>Werkkledij en PBM FD</t>
  </si>
  <si>
    <t>Kwaliteitsmetingen schoonmaak</t>
  </si>
  <si>
    <t>Schoonmaak gebouwen</t>
  </si>
  <si>
    <t>Onderhoud en herstelling liften</t>
  </si>
  <si>
    <t>Onderh/herst liften</t>
  </si>
  <si>
    <t>Afvalbeheer -  Ophalen grofvuil/ afvalcontainers</t>
  </si>
  <si>
    <t>Ramenpoets</t>
  </si>
  <si>
    <t>Schoonmaak uitbesteed</t>
  </si>
  <si>
    <t xml:space="preserve">gom-schoonmaak, iss, </t>
  </si>
  <si>
    <t>mag weg zie 781815</t>
  </si>
  <si>
    <t>6_14_Zmaakjekeuze</t>
  </si>
  <si>
    <t>Keuringsdiensten gebouw en installaties</t>
  </si>
  <si>
    <t>FOD- Verkeersbelasting</t>
  </si>
  <si>
    <t>Grootboekrekening</t>
  </si>
  <si>
    <t>Budgetpositie</t>
  </si>
  <si>
    <t>btw-code</t>
  </si>
  <si>
    <t>Externe ID GB-rek.</t>
  </si>
  <si>
    <t>Korte tekst</t>
  </si>
  <si>
    <t>21100000</t>
  </si>
  <si>
    <t>22310000</t>
  </si>
  <si>
    <t>23000000</t>
  </si>
  <si>
    <t>23010000</t>
  </si>
  <si>
    <t>23020000</t>
  </si>
  <si>
    <t>24000000</t>
  </si>
  <si>
    <t>24020000</t>
  </si>
  <si>
    <t>24060000</t>
  </si>
  <si>
    <t>24100000</t>
  </si>
  <si>
    <t>24200000</t>
  </si>
  <si>
    <t>25100000</t>
  </si>
  <si>
    <t>60310100</t>
  </si>
  <si>
    <t>60310150</t>
  </si>
  <si>
    <t>60320000</t>
  </si>
  <si>
    <t>60330000</t>
  </si>
  <si>
    <t>61000000</t>
  </si>
  <si>
    <t>61030000</t>
  </si>
  <si>
    <t>61030004</t>
  </si>
  <si>
    <t>61030005</t>
  </si>
  <si>
    <t>61030006</t>
  </si>
  <si>
    <t>61030007</t>
  </si>
  <si>
    <t>61030009</t>
  </si>
  <si>
    <t>61120000</t>
  </si>
  <si>
    <t>61200000</t>
  </si>
  <si>
    <t>Burgerlijke aanspr</t>
  </si>
  <si>
    <t>Persoonsgebond verz</t>
  </si>
  <si>
    <t>61310000</t>
  </si>
  <si>
    <t>Honoraria notarissen</t>
  </si>
  <si>
    <t>Honoraria les/gid/sp</t>
  </si>
  <si>
    <t>61300000</t>
  </si>
  <si>
    <t>Vergoeding AKV</t>
  </si>
  <si>
    <t>Vrijwilligers</t>
  </si>
  <si>
    <t>61314000</t>
  </si>
  <si>
    <t>Personeelskost Digi</t>
  </si>
  <si>
    <t>Vrijw voorbewaking</t>
  </si>
  <si>
    <t>Vrijw middagbewaking</t>
  </si>
  <si>
    <t>Vrijw nabewaking</t>
  </si>
  <si>
    <t>Vrijw woensdagmiddag</t>
  </si>
  <si>
    <t>Vrijw smakel scholen</t>
  </si>
  <si>
    <t>61410000</t>
  </si>
  <si>
    <t>61411000</t>
  </si>
  <si>
    <t>61420100</t>
  </si>
  <si>
    <t>61420200</t>
  </si>
  <si>
    <t>61420002</t>
  </si>
  <si>
    <t>61420003</t>
  </si>
  <si>
    <t>61420004</t>
  </si>
  <si>
    <t>61450000</t>
  </si>
  <si>
    <t>61460000</t>
  </si>
  <si>
    <t>Transport/lev kost</t>
  </si>
  <si>
    <t>61490000</t>
  </si>
  <si>
    <t>Werk/contract Digi</t>
  </si>
  <si>
    <t>Water</t>
  </si>
  <si>
    <t>61480000</t>
  </si>
  <si>
    <t>61510000</t>
  </si>
  <si>
    <t>61520001</t>
  </si>
  <si>
    <t>61520002</t>
  </si>
  <si>
    <t>61530000</t>
  </si>
  <si>
    <t>61560000</t>
  </si>
  <si>
    <t>61580000</t>
  </si>
  <si>
    <t>Beheersverg pens</t>
  </si>
  <si>
    <t>61529000</t>
  </si>
  <si>
    <t>Andere kosten pers</t>
  </si>
  <si>
    <t>61611000</t>
  </si>
  <si>
    <t>61612000</t>
  </si>
  <si>
    <t>61613000</t>
  </si>
  <si>
    <t>61700000</t>
  </si>
  <si>
    <t>Ter beschik/gedetach</t>
  </si>
  <si>
    <t>Zitpenningen RVB</t>
  </si>
  <si>
    <t>61800000</t>
  </si>
  <si>
    <t>Bezold vben pers</t>
  </si>
  <si>
    <t>62010000</t>
  </si>
  <si>
    <t>VG vben pers</t>
  </si>
  <si>
    <t>EJP vben pers</t>
  </si>
  <si>
    <t>FT vben pers</t>
  </si>
  <si>
    <t>Div verg vben pers</t>
  </si>
  <si>
    <t>Mobil bud vben pers</t>
  </si>
  <si>
    <t>Bezold contr pers</t>
  </si>
  <si>
    <t>62020000</t>
  </si>
  <si>
    <t>VG contr pers</t>
  </si>
  <si>
    <t>EJP contr pers</t>
  </si>
  <si>
    <t>FT contr pers</t>
  </si>
  <si>
    <t>Div verg contr pers</t>
  </si>
  <si>
    <t>Mobil bud contr pers</t>
  </si>
  <si>
    <t>Bezold andere pers</t>
  </si>
  <si>
    <t>VG andere pers</t>
  </si>
  <si>
    <t>EJP andere pers</t>
  </si>
  <si>
    <t>Div verg andere pers</t>
  </si>
  <si>
    <t>Mandaten</t>
  </si>
  <si>
    <t>62070000</t>
  </si>
  <si>
    <t>Bezold onderwpers VL</t>
  </si>
  <si>
    <t>62080300</t>
  </si>
  <si>
    <t>WGb RSZ vben</t>
  </si>
  <si>
    <t>62110000</t>
  </si>
  <si>
    <t>WGb pens vben Ethias</t>
  </si>
  <si>
    <t>WGb pens vben Omslag</t>
  </si>
  <si>
    <t>WGbijdr RSZ contr</t>
  </si>
  <si>
    <t>62120000</t>
  </si>
  <si>
    <t>WGbijdr RSZ andere</t>
  </si>
  <si>
    <t>WGb onderw pers Vl</t>
  </si>
  <si>
    <t>62180300</t>
  </si>
  <si>
    <t>Respobijdrage</t>
  </si>
  <si>
    <t>62190000</t>
  </si>
  <si>
    <t>Hospitalisatie vben</t>
  </si>
  <si>
    <t>62210000</t>
  </si>
  <si>
    <t>Hospitalisatie nvben</t>
  </si>
  <si>
    <t>62220000</t>
  </si>
  <si>
    <t>Aanv pens n vben</t>
  </si>
  <si>
    <t>62230000</t>
  </si>
  <si>
    <t>Arbeidsongevallen</t>
  </si>
  <si>
    <t>62300000</t>
  </si>
  <si>
    <t>Verplaatsingvergoed</t>
  </si>
  <si>
    <t>Vakbondspremie</t>
  </si>
  <si>
    <t>MTC en andere</t>
  </si>
  <si>
    <t>Voordeel alle aard +</t>
  </si>
  <si>
    <t>Voordeel alle aard -</t>
  </si>
  <si>
    <t>Gewaarborgd inkomen</t>
  </si>
  <si>
    <t>Mobiliteitvergoeding</t>
  </si>
  <si>
    <t>Sociaal abo gesub</t>
  </si>
  <si>
    <t>Sociaal abo n gesub</t>
  </si>
  <si>
    <t>Patr pensbijd Ethias</t>
  </si>
  <si>
    <t>62410000</t>
  </si>
  <si>
    <t>Patr pensbijd Omslag</t>
  </si>
  <si>
    <t>Onroer voorheffing</t>
  </si>
  <si>
    <t>64000000</t>
  </si>
  <si>
    <t>Roerende voorheffing</t>
  </si>
  <si>
    <t>Minw real werkvord</t>
  </si>
  <si>
    <t>64200000</t>
  </si>
  <si>
    <t>64300000</t>
  </si>
  <si>
    <t>Neg kasverschillen</t>
  </si>
  <si>
    <t>Div kost vorig jaren</t>
  </si>
  <si>
    <t>Andere werkingkosten</t>
  </si>
  <si>
    <t>Transitiefonds</t>
  </si>
  <si>
    <t>64410001</t>
  </si>
  <si>
    <t>Doorstorting respo</t>
  </si>
  <si>
    <t>64420000</t>
  </si>
  <si>
    <t>Afroming solid mid</t>
  </si>
  <si>
    <t>64410003</t>
  </si>
  <si>
    <t>Terugstort proj geld</t>
  </si>
  <si>
    <t>64440000</t>
  </si>
  <si>
    <t>Alg werkingssubsidie</t>
  </si>
  <si>
    <t>64900000</t>
  </si>
  <si>
    <t>Rente/intresten</t>
  </si>
  <si>
    <t>65000000</t>
  </si>
  <si>
    <t>Fin k onroer leasing</t>
  </si>
  <si>
    <t>Fin k DBFM leasing</t>
  </si>
  <si>
    <t>65000330</t>
  </si>
  <si>
    <t>Neg wisselkoers</t>
  </si>
  <si>
    <t>65400000</t>
  </si>
  <si>
    <t>Bankkosten</t>
  </si>
  <si>
    <t>65700000</t>
  </si>
  <si>
    <t>Verwijlintresten</t>
  </si>
  <si>
    <t>Neg betalingverschil</t>
  </si>
  <si>
    <t>Andere fin kosten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</si>
</sst>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0"/>
      <name val="Arial"/>
      <family val="2"/>
    </font>
    <font>
      <strike/>
      <sz val="11"/>
      <name val="Aptos Narrow"/>
      <family val="2"/>
      <scheme val="minor"/>
    </font>
    <font>
      <b/>
      <strike/>
      <sz val="11"/>
      <name val="Aptos Narrow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10"/>
      <color rgb="FF00B050"/>
      <name val="Calibri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94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9" fontId="3" fillId="0" borderId="0" xfId="1" applyFont="1" applyFill="1"/>
    <xf numFmtId="0" fontId="2" fillId="0" borderId="0" xfId="0" applyFont="1" applyAlignment="1">
      <alignment horizontal="center"/>
    </xf>
    <xf numFmtId="2" fontId="3" fillId="0" borderId="0" xfId="1" applyNumberFormat="1" applyFont="1" applyFill="1" applyAlignment="1">
      <alignment horizontal="center" vertical="center"/>
    </xf>
    <xf numFmtId="9" fontId="3" fillId="0" borderId="0" xfId="1" applyFont="1" applyFill="1" applyAlignment="1">
      <alignment horizontal="center"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 vertical="center"/>
    </xf>
    <xf numFmtId="2" fontId="2" fillId="0" borderId="0" xfId="1" applyNumberFormat="1" applyFont="1" applyFill="1" applyAlignment="1">
      <alignment horizontal="center" vertical="center"/>
    </xf>
    <xf numFmtId="9" fontId="2" fillId="0" borderId="0" xfId="1" applyFont="1" applyFill="1" applyAlignment="1">
      <alignment horizontal="center" vertical="center"/>
    </xf>
    <xf numFmtId="9" fontId="2" fillId="0" borderId="0" xfId="1" applyFont="1" applyFill="1"/>
    <xf numFmtId="9" fontId="2" fillId="0" borderId="0" xfId="1" applyFont="1" applyFill="1" applyAlignment="1">
      <alignment horizontal="center"/>
    </xf>
    <xf numFmtId="0" fontId="2" fillId="2" borderId="0" xfId="0" applyFont="1" applyFill="1"/>
    <xf numFmtId="0" fontId="2" fillId="0" borderId="0" xfId="2" applyFont="1"/>
    <xf numFmtId="9" fontId="3" fillId="0" borderId="0" xfId="1" applyFont="1" applyFill="1" applyAlignment="1">
      <alignment horizontal="center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3" borderId="0" xfId="0" applyFont="1" applyFill="1"/>
    <xf numFmtId="0" fontId="4" fillId="0" borderId="0" xfId="0" applyFont="1" applyAlignment="1">
      <alignment horizontal="center" vertical="center"/>
    </xf>
    <xf numFmtId="2" fontId="4" fillId="0" borderId="0" xfId="1" applyNumberFormat="1" applyFont="1" applyFill="1" applyAlignment="1">
      <alignment horizontal="center" vertical="center"/>
    </xf>
    <xf numFmtId="9" fontId="4" fillId="0" borderId="0" xfId="1" applyFont="1" applyFill="1" applyAlignment="1">
      <alignment horizontal="center" vertical="center"/>
    </xf>
    <xf numFmtId="9" fontId="4" fillId="0" borderId="0" xfId="1" applyFont="1" applyFill="1" applyAlignment="1">
      <alignment horizontal="center"/>
    </xf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3" borderId="0" xfId="0" applyFont="1" applyFill="1" applyAlignment="1">
      <alignment horizontal="center" vertical="center"/>
    </xf>
    <xf numFmtId="2" fontId="5" fillId="3" borderId="0" xfId="1" applyNumberFormat="1" applyFont="1" applyFill="1" applyAlignment="1">
      <alignment horizontal="center" vertical="center"/>
    </xf>
    <xf numFmtId="9" fontId="5" fillId="0" borderId="0" xfId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2" fontId="4" fillId="3" borderId="0" xfId="1" applyNumberFormat="1" applyFont="1" applyFill="1" applyAlignment="1">
      <alignment horizontal="center" vertic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 vertical="top"/>
    </xf>
    <xf numFmtId="9" fontId="5" fillId="0" borderId="0" xfId="1" applyFont="1" applyFill="1" applyAlignment="1">
      <alignment horizontal="center"/>
    </xf>
    <xf numFmtId="0" fontId="2" fillId="4" borderId="0" xfId="0" applyFont="1" applyFill="1"/>
    <xf numFmtId="0" fontId="5" fillId="4" borderId="0" xfId="0" applyFont="1" applyFill="1"/>
    <xf numFmtId="0" fontId="4" fillId="4" borderId="0" xfId="0" applyFont="1" applyFill="1"/>
    <xf numFmtId="0" fontId="2" fillId="4" borderId="0" xfId="0" applyFont="1" applyFill="1" applyAlignment="1">
      <alignment horizontal="center"/>
    </xf>
    <xf numFmtId="0" fontId="5" fillId="4" borderId="0" xfId="0" applyFont="1" applyFill="1" applyAlignment="1">
      <alignment horizontal="right"/>
    </xf>
    <xf numFmtId="0" fontId="5" fillId="4" borderId="0" xfId="0" applyFont="1" applyFill="1" applyAlignment="1">
      <alignment horizontal="left" vertical="top"/>
    </xf>
    <xf numFmtId="0" fontId="5" fillId="4" borderId="0" xfId="0" applyFont="1" applyFill="1" applyAlignment="1">
      <alignment horizontal="center" vertical="center"/>
    </xf>
    <xf numFmtId="2" fontId="5" fillId="4" borderId="0" xfId="1" applyNumberFormat="1" applyFont="1" applyFill="1" applyAlignment="1">
      <alignment horizontal="center" vertical="center"/>
    </xf>
    <xf numFmtId="9" fontId="5" fillId="4" borderId="0" xfId="1" applyFont="1" applyFill="1" applyAlignment="1">
      <alignment horizontal="center" vertical="center"/>
    </xf>
    <xf numFmtId="9" fontId="5" fillId="4" borderId="0" xfId="1" applyFont="1" applyFill="1"/>
    <xf numFmtId="0" fontId="4" fillId="4" borderId="0" xfId="0" applyFont="1" applyFill="1" applyAlignment="1">
      <alignment horizontal="right"/>
    </xf>
    <xf numFmtId="0" fontId="4" fillId="4" borderId="0" xfId="0" applyFont="1" applyFill="1" applyAlignment="1">
      <alignment horizontal="center" vertical="center"/>
    </xf>
    <xf numFmtId="2" fontId="4" fillId="4" borderId="0" xfId="1" applyNumberFormat="1" applyFont="1" applyFill="1" applyAlignment="1">
      <alignment horizontal="center" vertical="center"/>
    </xf>
    <xf numFmtId="9" fontId="4" fillId="4" borderId="0" xfId="1" applyFont="1" applyFill="1" applyAlignment="1">
      <alignment horizontal="center" vertical="center"/>
    </xf>
    <xf numFmtId="9" fontId="4" fillId="4" borderId="0" xfId="1" applyFont="1" applyFill="1"/>
    <xf numFmtId="0" fontId="6" fillId="0" borderId="0" xfId="2" applyFont="1" applyAlignment="1">
      <alignment horizontal="right"/>
    </xf>
    <xf numFmtId="9" fontId="4" fillId="0" borderId="0" xfId="1" applyFont="1" applyFill="1"/>
    <xf numFmtId="0" fontId="5" fillId="0" borderId="0" xfId="0" applyFont="1" applyAlignment="1">
      <alignment horizontal="center" vertical="center"/>
    </xf>
    <xf numFmtId="2" fontId="5" fillId="0" borderId="0" xfId="1" applyNumberFormat="1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9" fontId="4" fillId="4" borderId="0" xfId="1" applyFont="1" applyFill="1" applyAlignment="1">
      <alignment horizontal="center"/>
    </xf>
    <xf numFmtId="0" fontId="3" fillId="4" borderId="0" xfId="0" applyFont="1" applyFill="1"/>
    <xf numFmtId="0" fontId="3" fillId="4" borderId="0" xfId="0" applyFont="1" applyFill="1" applyAlignment="1">
      <alignment horizontal="right"/>
    </xf>
    <xf numFmtId="0" fontId="3" fillId="4" borderId="0" xfId="0" applyFont="1" applyFill="1" applyAlignment="1">
      <alignment horizontal="left" vertical="top"/>
    </xf>
    <xf numFmtId="0" fontId="3" fillId="4" borderId="0" xfId="0" applyFont="1" applyFill="1" applyAlignment="1">
      <alignment horizontal="center" vertical="center"/>
    </xf>
    <xf numFmtId="2" fontId="3" fillId="4" borderId="0" xfId="1" applyNumberFormat="1" applyFont="1" applyFill="1" applyAlignment="1">
      <alignment horizontal="center" vertical="center"/>
    </xf>
    <xf numFmtId="9" fontId="3" fillId="4" borderId="0" xfId="1" applyFont="1" applyFill="1" applyAlignment="1">
      <alignment horizontal="center" vertical="center"/>
    </xf>
    <xf numFmtId="9" fontId="3" fillId="4" borderId="0" xfId="1" applyFont="1" applyFill="1"/>
    <xf numFmtId="0" fontId="2" fillId="4" borderId="0" xfId="0" applyFont="1" applyFill="1" applyAlignment="1">
      <alignment horizontal="right"/>
    </xf>
    <xf numFmtId="0" fontId="2" fillId="4" borderId="0" xfId="0" applyFont="1" applyFill="1" applyAlignment="1">
      <alignment horizontal="center" vertical="center"/>
    </xf>
    <xf numFmtId="2" fontId="2" fillId="4" borderId="0" xfId="1" applyNumberFormat="1" applyFont="1" applyFill="1" applyAlignment="1">
      <alignment horizontal="center" vertical="center"/>
    </xf>
    <xf numFmtId="9" fontId="2" fillId="4" borderId="0" xfId="1" applyFont="1" applyFill="1" applyAlignment="1">
      <alignment horizontal="center" vertical="center"/>
    </xf>
    <xf numFmtId="9" fontId="2" fillId="4" borderId="0" xfId="1" applyFont="1" applyFill="1"/>
    <xf numFmtId="0" fontId="5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/>
    </xf>
    <xf numFmtId="0" fontId="7" fillId="0" borderId="0" xfId="0" applyFont="1"/>
    <xf numFmtId="0" fontId="2" fillId="0" borderId="0" xfId="0" applyFont="1" applyAlignment="1">
      <alignment horizontal="left"/>
    </xf>
    <xf numFmtId="2" fontId="2" fillId="0" borderId="0" xfId="1" applyNumberFormat="1" applyFont="1" applyAlignment="1">
      <alignment horizontal="center" vertical="center"/>
    </xf>
    <xf numFmtId="9" fontId="2" fillId="0" borderId="0" xfId="1" applyFont="1" applyAlignment="1">
      <alignment horizontal="center" vertical="center"/>
    </xf>
    <xf numFmtId="9" fontId="2" fillId="0" borderId="0" xfId="1" applyFont="1"/>
    <xf numFmtId="0" fontId="2" fillId="0" borderId="0" xfId="0" applyFont="1" applyAlignment="1">
      <alignment horizontal="center" vertical="top"/>
    </xf>
    <xf numFmtId="2" fontId="3" fillId="0" borderId="0" xfId="1" applyNumberFormat="1" applyFont="1" applyAlignment="1">
      <alignment horizontal="center" vertical="center"/>
    </xf>
    <xf numFmtId="9" fontId="3" fillId="0" borderId="0" xfId="1" applyFont="1" applyAlignment="1">
      <alignment horizontal="center" vertical="center"/>
    </xf>
    <xf numFmtId="9" fontId="3" fillId="0" borderId="0" xfId="1" applyFont="1"/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8" fillId="0" borderId="0" xfId="0" applyFont="1"/>
    <xf numFmtId="0" fontId="4" fillId="2" borderId="0" xfId="0" applyFont="1" applyFill="1" applyAlignment="1">
      <alignment horizontal="center" vertical="center"/>
    </xf>
    <xf numFmtId="0" fontId="9" fillId="0" borderId="0" xfId="0" applyFont="1"/>
    <xf numFmtId="0" fontId="10" fillId="0" borderId="0" xfId="0" applyFont="1"/>
    <xf numFmtId="9" fontId="10" fillId="0" borderId="0" xfId="1" applyFont="1" applyFill="1"/>
    <xf numFmtId="0" fontId="11" fillId="0" borderId="0" xfId="0" applyFont="1"/>
    <xf numFmtId="0" fontId="12" fillId="5" borderId="0" xfId="0" applyFont="1" applyFill="1"/>
    <xf numFmtId="0" fontId="0" fillId="0" borderId="0" xfId="0" applyAlignment="1">
      <alignment horizontal="left"/>
    </xf>
  </cellXfs>
  <cellStyles count="3">
    <cellStyle name="Normal" xfId="0" builtinId="0"/>
    <cellStyle name="Percent" xfId="1" builtinId="5"/>
    <cellStyle name="Standaard 2" xfId="2" xr:uid="{2B10FE3F-25BA-42DB-9F85-E01C8905E5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ri Bosmans" id="{C92CD1F2-39FA-4726-AB6D-BFEF7B2F7BCC}" userId="S::jari.bosmans@antwerpen.be::e7943d19-331e-4b6d-b34d-05402b19563b" providerId="AD"/>
</personList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1" dT="2025-04-18T07:14:54.67" personId="{C92CD1F2-39FA-4726-AB6D-BFEF7B2F7BCC}" id="{A49A16AF-4AB0-4D17-A93D-89CE439EED4A}">
    <text>- unspsc moet in kleine letters, aangezien de commodity code file ook met kleine letters is opgeladen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C1407-B5CE-4617-90E8-E7CC37F51D38}">
  <dimension ref="A1:AS886"/>
  <sheetViews>
    <sheetView topLeftCell="K605" workbookViewId="0">
      <selection activeCell="AB2" sqref="AB2:AB631"/>
    </sheetView>
  </sheetViews>
  <sheetFormatPr defaultColWidth="8.7109375" defaultRowHeight="15" x14ac:dyDescent="0.25"/>
  <cols>
    <col min="1" max="1" width="8.7109375" style="1"/>
    <col min="2" max="2" width="11.7109375" style="1" customWidth="1"/>
    <col min="3" max="3" width="6.85546875" style="1" customWidth="1"/>
    <col min="4" max="4" width="4.7109375" style="1" customWidth="1"/>
    <col min="5" max="5" width="5.42578125" style="1" customWidth="1"/>
    <col min="6" max="6" width="7.28515625" style="1" customWidth="1"/>
    <col min="7" max="7" width="53.5703125" style="1" bestFit="1" customWidth="1"/>
    <col min="8" max="8" width="14.7109375" style="8" customWidth="1"/>
    <col min="9" max="9" width="66.85546875" style="8" customWidth="1"/>
    <col min="10" max="10" width="43.42578125" style="1" customWidth="1"/>
    <col min="11" max="11" width="12.28515625" style="1" customWidth="1"/>
    <col min="12" max="12" width="5.28515625" style="1" customWidth="1"/>
    <col min="13" max="13" width="8.28515625" style="1" customWidth="1"/>
    <col min="14" max="14" width="4" style="1" customWidth="1"/>
    <col min="15" max="15" width="10" style="11" customWidth="1"/>
    <col min="16" max="16" width="5.7109375" style="1" customWidth="1"/>
    <col min="17" max="17" width="9.5703125" style="1" customWidth="1"/>
    <col min="18" max="22" width="3" style="1" customWidth="1"/>
    <col min="23" max="24" width="4.42578125" style="1" customWidth="1"/>
    <col min="25" max="25" width="5" style="1" customWidth="1"/>
    <col min="26" max="26" width="2.85546875" style="1" customWidth="1"/>
    <col min="27" max="27" width="15" style="4" customWidth="1"/>
    <col min="28" max="28" width="62.140625" style="2" customWidth="1"/>
    <col min="29" max="29" width="9.28515625" style="5" customWidth="1"/>
    <col min="30" max="30" width="10.28515625" style="9" customWidth="1"/>
    <col min="31" max="31" width="4" style="10" customWidth="1"/>
    <col min="32" max="32" width="1.7109375" style="16" customWidth="1"/>
    <col min="33" max="33" width="15" style="1" customWidth="1"/>
    <col min="34" max="34" width="23.28515625" style="1" customWidth="1"/>
    <col min="35" max="35" width="8.7109375" style="2"/>
    <col min="36" max="36" width="9.42578125" style="1" bestFit="1" customWidth="1"/>
    <col min="37" max="37" width="1.7109375" style="1" customWidth="1"/>
    <col min="38" max="38" width="22.28515625" style="1" customWidth="1"/>
    <col min="39" max="16384" width="8.7109375" style="1"/>
  </cols>
  <sheetData>
    <row r="1" spans="1:38" x14ac:dyDescent="0.25">
      <c r="B1" s="1" t="s">
        <v>0</v>
      </c>
      <c r="C1" s="1" t="s">
        <v>1</v>
      </c>
      <c r="F1" s="1" t="s">
        <v>2</v>
      </c>
      <c r="G1" s="1" t="s">
        <v>3</v>
      </c>
      <c r="H1" s="1" t="s">
        <v>4</v>
      </c>
      <c r="I1" s="1"/>
      <c r="J1" s="1" t="s">
        <v>5</v>
      </c>
      <c r="K1" s="1" t="s">
        <v>6</v>
      </c>
      <c r="L1" s="2"/>
      <c r="M1" s="2" t="s">
        <v>7</v>
      </c>
      <c r="N1" s="2"/>
      <c r="O1" s="2" t="s">
        <v>8</v>
      </c>
      <c r="P1" s="3" t="s">
        <v>9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15</v>
      </c>
      <c r="W1" s="2" t="s">
        <v>16</v>
      </c>
      <c r="X1" s="2" t="s">
        <v>17</v>
      </c>
      <c r="Y1" s="2" t="s">
        <v>18</v>
      </c>
      <c r="Z1" s="2" t="s">
        <v>19</v>
      </c>
      <c r="AA1" s="4" t="s">
        <v>20</v>
      </c>
      <c r="AB1" s="2" t="s">
        <v>21</v>
      </c>
      <c r="AC1" s="5" t="s">
        <v>22</v>
      </c>
      <c r="AD1" s="6" t="s">
        <v>23</v>
      </c>
      <c r="AE1" s="5" t="s">
        <v>24</v>
      </c>
      <c r="AF1" s="1" t="s">
        <v>25</v>
      </c>
      <c r="AG1" s="7" t="s">
        <v>26</v>
      </c>
      <c r="AH1" s="2" t="s">
        <v>27</v>
      </c>
      <c r="AI1" s="2" t="s">
        <v>28</v>
      </c>
      <c r="AJ1" s="2" t="s">
        <v>29</v>
      </c>
      <c r="AL1" s="1" t="s">
        <v>30</v>
      </c>
    </row>
    <row r="2" spans="1:38" s="2" customFormat="1" x14ac:dyDescent="0.25">
      <c r="A2" s="1">
        <v>100</v>
      </c>
      <c r="C2" s="1" t="s">
        <v>31</v>
      </c>
      <c r="D2" s="1"/>
      <c r="E2" s="1"/>
      <c r="F2" s="2">
        <v>4</v>
      </c>
      <c r="G2" s="2" t="s">
        <v>32</v>
      </c>
      <c r="H2" s="8"/>
      <c r="I2" s="8"/>
      <c r="J2" s="2" t="s">
        <v>33</v>
      </c>
      <c r="K2" s="2" t="s">
        <v>34</v>
      </c>
      <c r="L2" s="1"/>
      <c r="M2" s="1"/>
      <c r="N2" s="1"/>
      <c r="O2" s="3">
        <v>10000000</v>
      </c>
      <c r="P2" s="1"/>
      <c r="Q2" s="1" t="s">
        <v>35</v>
      </c>
      <c r="R2" s="1" t="s">
        <v>36</v>
      </c>
      <c r="S2" s="1"/>
      <c r="T2" s="1"/>
      <c r="U2" s="1"/>
      <c r="V2" s="1"/>
      <c r="W2" s="1"/>
      <c r="X2" s="1"/>
      <c r="Y2" s="1" t="s">
        <v>37</v>
      </c>
      <c r="AA2" s="4">
        <v>1015</v>
      </c>
      <c r="AB2" s="2" t="s">
        <v>34</v>
      </c>
      <c r="AC2" s="5" t="s">
        <v>38</v>
      </c>
      <c r="AD2" s="9">
        <v>0.06</v>
      </c>
      <c r="AE2" s="10" t="s">
        <v>39</v>
      </c>
      <c r="AF2" s="7"/>
      <c r="AI2" s="2" t="s">
        <v>40</v>
      </c>
      <c r="AL2" s="1" t="str">
        <f>""""&amp;J2&amp;""""&amp;","&amp;""""&amp;L2&amp;""""&amp;","&amp;""""&amp;M2&amp;""""&amp;","&amp;""""&amp;O2&amp;""""&amp;","&amp;""""&amp;P2&amp;""""&amp;","&amp;""""&amp;Q2&amp;""""&amp;","&amp;""""&amp;R2&amp;""""&amp;","&amp;""""&amp;S2&amp;""""&amp;","&amp;""""&amp;T2&amp;""""&amp;","&amp;""""&amp;U2&amp;""""&amp;","&amp;""""&amp;V2&amp;""""&amp;","&amp;""""&amp;W2&amp;""""&amp;","&amp;""""&amp;X2&amp;""""&amp;","&amp;""""&amp;Y2&amp;""""&amp;","&amp;""""&amp;Z2&amp;""""&amp;","&amp;""""&amp;AA2&amp;""""&amp;","&amp;""""&amp;AG2&amp;""""&amp;","&amp;""""&amp;AI2&amp;""""&amp;","&amp;""""&amp;AJ2&amp;""""&amp;""</f>
        <v>"Maak je keuze","","","10000000","","unspsc","M","","","","","","","A010","","1015","","True",""</v>
      </c>
    </row>
    <row r="3" spans="1:38" x14ac:dyDescent="0.25">
      <c r="A3" s="1">
        <v>100</v>
      </c>
      <c r="C3" s="1" t="s">
        <v>31</v>
      </c>
      <c r="F3" s="1">
        <v>4</v>
      </c>
      <c r="G3" s="1" t="s">
        <v>32</v>
      </c>
      <c r="H3" s="8">
        <v>17</v>
      </c>
      <c r="J3" s="1" t="s">
        <v>41</v>
      </c>
      <c r="K3" s="1" t="s">
        <v>34</v>
      </c>
      <c r="O3" s="11">
        <v>10000000</v>
      </c>
      <c r="Q3" s="1" t="s">
        <v>35</v>
      </c>
      <c r="R3" s="1" t="s">
        <v>36</v>
      </c>
      <c r="W3" s="1" t="s">
        <v>42</v>
      </c>
      <c r="Y3" s="1" t="s">
        <v>37</v>
      </c>
      <c r="AA3" s="12">
        <v>1015</v>
      </c>
      <c r="AB3" s="1" t="s">
        <v>34</v>
      </c>
      <c r="AC3" s="12" t="s">
        <v>38</v>
      </c>
      <c r="AD3" s="13">
        <v>0.06</v>
      </c>
      <c r="AE3" s="14" t="s">
        <v>39</v>
      </c>
      <c r="AF3" s="15"/>
      <c r="AG3" s="1">
        <v>6152000300</v>
      </c>
      <c r="AH3" s="1" t="s">
        <v>43</v>
      </c>
      <c r="AI3" s="1" t="s">
        <v>44</v>
      </c>
      <c r="AL3" s="1" t="str">
        <f t="shared" ref="AL3" si="0">""""&amp;J3&amp;""""&amp;","&amp;""""&amp;L3&amp;""""&amp;","&amp;""""&amp;M3&amp;""""&amp;","&amp;""""&amp;O3&amp;""""&amp;","&amp;""""&amp;P3&amp;""""&amp;","&amp;""""&amp;Q3&amp;""""&amp;","&amp;""""&amp;R3&amp;""""&amp;","&amp;""""&amp;S3&amp;""""&amp;","&amp;""""&amp;T3&amp;""""&amp;","&amp;""""&amp;U3&amp;""""&amp;","&amp;""""&amp;V3&amp;""""&amp;","&amp;""""&amp;W3&amp;""""&amp;","&amp;""""&amp;X3&amp;""""&amp;","&amp;""""&amp;Y3&amp;""""&amp;","&amp;""""&amp;Z3&amp;""""&amp;","&amp;""""&amp;AA3&amp;""""&amp;","&amp;""""&amp;AG3&amp;""""&amp;","&amp;""""&amp;AI3&amp;""""&amp;","&amp;""""&amp;AJ3&amp;""""&amp;""</f>
        <v>"Operationele werking","","","10000000","","unspsc","M","","","","","K","","A010","","1015","6152000300","False",""</v>
      </c>
    </row>
    <row r="4" spans="1:38" x14ac:dyDescent="0.25">
      <c r="A4" s="1">
        <v>100</v>
      </c>
      <c r="C4" s="1" t="s">
        <v>31</v>
      </c>
      <c r="F4" s="1">
        <v>4</v>
      </c>
      <c r="G4" s="1" t="s">
        <v>32</v>
      </c>
      <c r="H4" s="8">
        <v>3</v>
      </c>
      <c r="J4" s="1" t="s">
        <v>45</v>
      </c>
      <c r="K4" s="1" t="s">
        <v>34</v>
      </c>
      <c r="O4" s="11">
        <v>10000000</v>
      </c>
      <c r="Q4" s="1" t="s">
        <v>35</v>
      </c>
      <c r="R4" s="1" t="s">
        <v>36</v>
      </c>
      <c r="W4" s="1" t="s">
        <v>42</v>
      </c>
      <c r="Y4" s="1" t="s">
        <v>37</v>
      </c>
      <c r="AA4" s="12">
        <v>1015</v>
      </c>
      <c r="AB4" s="1" t="s">
        <v>34</v>
      </c>
      <c r="AC4" s="12" t="s">
        <v>38</v>
      </c>
      <c r="AD4" s="13">
        <v>0.06</v>
      </c>
      <c r="AE4" s="14" t="s">
        <v>39</v>
      </c>
      <c r="AF4" s="15"/>
      <c r="AG4" s="1">
        <v>6161000200</v>
      </c>
      <c r="AH4" s="1" t="s">
        <v>45</v>
      </c>
      <c r="AI4" s="1" t="s">
        <v>44</v>
      </c>
      <c r="AL4" s="1" t="str">
        <f t="shared" ref="AL4:AL67" si="1">""""&amp;J4&amp;""""&amp;","&amp;""""&amp;L4&amp;""""&amp;","&amp;""""&amp;M4&amp;""""&amp;","&amp;""""&amp;O4&amp;""""&amp;","&amp;""""&amp;P4&amp;""""&amp;","&amp;""""&amp;Q4&amp;""""&amp;","&amp;""""&amp;R4&amp;""""&amp;","&amp;""""&amp;S4&amp;""""&amp;","&amp;""""&amp;T4&amp;""""&amp;","&amp;""""&amp;U4&amp;""""&amp;","&amp;""""&amp;V4&amp;""""&amp;","&amp;""""&amp;W4&amp;""""&amp;","&amp;""""&amp;X4&amp;""""&amp;","&amp;""""&amp;Y4&amp;""""&amp;","&amp;""""&amp;Z4&amp;""""&amp;","&amp;""""&amp;AA4&amp;""""&amp;","&amp;""""&amp;AG4&amp;""""&amp;","&amp;""""&amp;AI4&amp;""""&amp;","&amp;""""&amp;AJ4&amp;""""&amp;""</f>
        <v>"Didactisch materiaal","","","10000000","","unspsc","M","","","","","K","","A010","","1015","6161000200","False",""</v>
      </c>
    </row>
    <row r="5" spans="1:38" x14ac:dyDescent="0.25">
      <c r="A5" s="1">
        <v>100</v>
      </c>
      <c r="C5" s="1" t="s">
        <v>31</v>
      </c>
      <c r="F5" s="1">
        <v>4</v>
      </c>
      <c r="G5" s="1" t="s">
        <v>32</v>
      </c>
      <c r="H5" s="8">
        <v>10</v>
      </c>
      <c r="J5" s="1" t="s">
        <v>46</v>
      </c>
      <c r="K5" s="1" t="s">
        <v>34</v>
      </c>
      <c r="O5" s="11">
        <v>10000000</v>
      </c>
      <c r="Q5" s="1" t="s">
        <v>35</v>
      </c>
      <c r="R5" s="1" t="s">
        <v>36</v>
      </c>
      <c r="W5" s="1" t="s">
        <v>42</v>
      </c>
      <c r="Y5" s="1" t="s">
        <v>37</v>
      </c>
      <c r="AA5" s="12">
        <v>1015</v>
      </c>
      <c r="AB5" s="1" t="s">
        <v>34</v>
      </c>
      <c r="AC5" s="12" t="s">
        <v>38</v>
      </c>
      <c r="AD5" s="13">
        <v>0.06</v>
      </c>
      <c r="AE5" s="14" t="s">
        <v>39</v>
      </c>
      <c r="AF5" s="15"/>
      <c r="AG5" s="1">
        <v>6146000400</v>
      </c>
      <c r="AH5" s="1" t="s">
        <v>47</v>
      </c>
      <c r="AI5" s="1" t="s">
        <v>44</v>
      </c>
      <c r="AL5" s="1" t="str">
        <f t="shared" si="1"/>
        <v>"Representatie externen","","","10000000","","unspsc","M","","","","","K","","A010","","1015","6146000400","False",""</v>
      </c>
    </row>
    <row r="6" spans="1:38" x14ac:dyDescent="0.25">
      <c r="A6" s="1">
        <v>200</v>
      </c>
      <c r="C6" s="1" t="s">
        <v>48</v>
      </c>
      <c r="E6" s="1" t="s">
        <v>49</v>
      </c>
      <c r="F6" s="1">
        <v>4</v>
      </c>
      <c r="G6" s="1" t="s">
        <v>50</v>
      </c>
      <c r="H6" s="8">
        <v>15</v>
      </c>
      <c r="J6" s="1" t="s">
        <v>51</v>
      </c>
      <c r="K6" s="1" t="s">
        <v>51</v>
      </c>
      <c r="O6" s="11">
        <v>10000000</v>
      </c>
      <c r="Q6" s="1" t="s">
        <v>35</v>
      </c>
      <c r="R6" s="1" t="s">
        <v>36</v>
      </c>
      <c r="W6" s="1" t="s">
        <v>42</v>
      </c>
      <c r="Y6" s="1" t="s">
        <v>37</v>
      </c>
      <c r="AA6" s="12">
        <v>1015</v>
      </c>
      <c r="AB6" s="1" t="s">
        <v>34</v>
      </c>
      <c r="AC6" s="12" t="s">
        <v>52</v>
      </c>
      <c r="AD6" s="13">
        <v>0</v>
      </c>
      <c r="AE6" s="14" t="s">
        <v>53</v>
      </c>
      <c r="AG6" s="1">
        <v>4991000100</v>
      </c>
      <c r="AH6" s="1" t="s">
        <v>54</v>
      </c>
      <c r="AI6" s="17" t="s">
        <v>44</v>
      </c>
      <c r="AL6" s="1" t="str">
        <f t="shared" si="1"/>
        <v>"Doorrekening binnen AG SO","","","10000000","","unspsc","M","","","","","K","","A010","","1015","4991000100","False",""</v>
      </c>
    </row>
    <row r="7" spans="1:38" x14ac:dyDescent="0.25">
      <c r="A7" s="1">
        <v>100</v>
      </c>
      <c r="B7" s="2"/>
      <c r="C7" s="1" t="s">
        <v>31</v>
      </c>
      <c r="F7" s="2">
        <v>4</v>
      </c>
      <c r="G7" s="2" t="s">
        <v>32</v>
      </c>
      <c r="J7" s="2" t="s">
        <v>33</v>
      </c>
      <c r="K7" s="2" t="s">
        <v>55</v>
      </c>
      <c r="O7" s="3">
        <v>10000000</v>
      </c>
      <c r="Q7" s="1" t="s">
        <v>35</v>
      </c>
      <c r="R7" s="1" t="s">
        <v>36</v>
      </c>
      <c r="Y7" s="1" t="s">
        <v>37</v>
      </c>
      <c r="Z7" s="2"/>
      <c r="AA7" s="4">
        <v>1016</v>
      </c>
      <c r="AB7" s="2" t="s">
        <v>55</v>
      </c>
      <c r="AC7" s="5" t="s">
        <v>38</v>
      </c>
      <c r="AD7" s="9">
        <v>0.06</v>
      </c>
      <c r="AE7" s="10" t="s">
        <v>39</v>
      </c>
      <c r="AF7" s="7"/>
      <c r="AG7" s="2"/>
      <c r="AH7" s="2"/>
      <c r="AI7" s="2" t="s">
        <v>40</v>
      </c>
      <c r="AJ7" s="2"/>
      <c r="AK7" s="2"/>
      <c r="AL7" s="1" t="str">
        <f t="shared" si="1"/>
        <v>"Maak je keuze","","","10000000","","unspsc","M","","","","","","","A010","","1016","","True",""</v>
      </c>
    </row>
    <row r="8" spans="1:38" x14ac:dyDescent="0.25">
      <c r="A8" s="1">
        <v>100</v>
      </c>
      <c r="C8" s="1" t="s">
        <v>31</v>
      </c>
      <c r="F8" s="1">
        <v>4</v>
      </c>
      <c r="G8" s="1" t="s">
        <v>32</v>
      </c>
      <c r="H8" s="8">
        <v>17</v>
      </c>
      <c r="J8" s="1" t="s">
        <v>41</v>
      </c>
      <c r="K8" s="1" t="s">
        <v>55</v>
      </c>
      <c r="O8" s="11">
        <v>10000000</v>
      </c>
      <c r="Q8" s="1" t="s">
        <v>35</v>
      </c>
      <c r="R8" s="1" t="s">
        <v>36</v>
      </c>
      <c r="W8" s="1" t="s">
        <v>42</v>
      </c>
      <c r="Y8" s="1" t="s">
        <v>37</v>
      </c>
      <c r="AA8" s="12">
        <v>1016</v>
      </c>
      <c r="AB8" s="1" t="s">
        <v>55</v>
      </c>
      <c r="AC8" s="12" t="s">
        <v>38</v>
      </c>
      <c r="AD8" s="13">
        <v>0.06</v>
      </c>
      <c r="AE8" s="14" t="s">
        <v>39</v>
      </c>
      <c r="AF8" s="15"/>
      <c r="AG8" s="1">
        <v>6146000900</v>
      </c>
      <c r="AH8" s="1" t="s">
        <v>56</v>
      </c>
      <c r="AI8" s="1" t="s">
        <v>44</v>
      </c>
      <c r="AL8" s="1" t="str">
        <f t="shared" si="1"/>
        <v>"Operationele werking","","","10000000","","unspsc","M","","","","","K","","A010","","1016","6146000900","False",""</v>
      </c>
    </row>
    <row r="9" spans="1:38" x14ac:dyDescent="0.25">
      <c r="A9" s="1">
        <v>100</v>
      </c>
      <c r="C9" s="1" t="s">
        <v>31</v>
      </c>
      <c r="F9" s="1">
        <v>4</v>
      </c>
      <c r="G9" s="1" t="s">
        <v>32</v>
      </c>
      <c r="H9" s="8">
        <v>2</v>
      </c>
      <c r="J9" s="1" t="s">
        <v>57</v>
      </c>
      <c r="K9" s="1" t="s">
        <v>55</v>
      </c>
      <c r="O9" s="11">
        <v>10000000</v>
      </c>
      <c r="Q9" s="1" t="s">
        <v>35</v>
      </c>
      <c r="R9" s="1" t="s">
        <v>36</v>
      </c>
      <c r="W9" s="1" t="s">
        <v>42</v>
      </c>
      <c r="Y9" s="1" t="s">
        <v>37</v>
      </c>
      <c r="AA9" s="12">
        <v>1016</v>
      </c>
      <c r="AB9" s="1" t="s">
        <v>55</v>
      </c>
      <c r="AC9" s="12" t="s">
        <v>38</v>
      </c>
      <c r="AD9" s="13">
        <v>0.06</v>
      </c>
      <c r="AE9" s="14" t="s">
        <v>39</v>
      </c>
      <c r="AF9" s="15"/>
      <c r="AG9" s="1">
        <v>6030000300</v>
      </c>
      <c r="AH9" s="1" t="s">
        <v>58</v>
      </c>
      <c r="AI9" s="1" t="s">
        <v>44</v>
      </c>
      <c r="AL9" s="1" t="str">
        <f t="shared" si="1"/>
        <v>"Aankoop voor doorverkoop niet onderwijs","","","10000000","","unspsc","M","","","","","K","","A010","","1016","6030000300","False",""</v>
      </c>
    </row>
    <row r="10" spans="1:38" x14ac:dyDescent="0.25">
      <c r="A10" s="1">
        <v>100</v>
      </c>
      <c r="C10" s="1" t="s">
        <v>31</v>
      </c>
      <c r="F10" s="1">
        <v>4</v>
      </c>
      <c r="G10" s="1" t="s">
        <v>32</v>
      </c>
      <c r="H10" s="8">
        <v>3</v>
      </c>
      <c r="J10" s="1" t="s">
        <v>45</v>
      </c>
      <c r="K10" s="1" t="s">
        <v>55</v>
      </c>
      <c r="O10" s="11">
        <v>10000000</v>
      </c>
      <c r="Q10" s="1" t="s">
        <v>35</v>
      </c>
      <c r="R10" s="1" t="s">
        <v>36</v>
      </c>
      <c r="W10" s="1" t="s">
        <v>42</v>
      </c>
      <c r="Y10" s="1" t="s">
        <v>37</v>
      </c>
      <c r="AA10" s="12">
        <v>1016</v>
      </c>
      <c r="AB10" s="1" t="s">
        <v>55</v>
      </c>
      <c r="AC10" s="12" t="s">
        <v>38</v>
      </c>
      <c r="AD10" s="13">
        <v>0.06</v>
      </c>
      <c r="AE10" s="14" t="s">
        <v>39</v>
      </c>
      <c r="AF10" s="15"/>
      <c r="AG10" s="1">
        <v>6161000200</v>
      </c>
      <c r="AH10" s="1" t="s">
        <v>45</v>
      </c>
      <c r="AI10" s="1" t="s">
        <v>44</v>
      </c>
      <c r="AL10" s="1" t="str">
        <f t="shared" si="1"/>
        <v>"Didactisch materiaal","","","10000000","","unspsc","M","","","","","K","","A010","","1016","6161000200","False",""</v>
      </c>
    </row>
    <row r="11" spans="1:38" x14ac:dyDescent="0.25">
      <c r="A11" s="1">
        <v>100</v>
      </c>
      <c r="C11" s="1" t="s">
        <v>31</v>
      </c>
      <c r="F11" s="1">
        <v>4</v>
      </c>
      <c r="G11" s="1" t="s">
        <v>32</v>
      </c>
      <c r="H11" s="8">
        <v>9</v>
      </c>
      <c r="J11" s="1" t="s">
        <v>59</v>
      </c>
      <c r="K11" s="1" t="s">
        <v>55</v>
      </c>
      <c r="O11" s="11">
        <v>10000000</v>
      </c>
      <c r="Q11" s="1" t="s">
        <v>35</v>
      </c>
      <c r="R11" s="1" t="s">
        <v>36</v>
      </c>
      <c r="W11" s="1" t="s">
        <v>60</v>
      </c>
      <c r="Y11" s="1" t="s">
        <v>37</v>
      </c>
      <c r="AA11" s="12">
        <v>1016</v>
      </c>
      <c r="AB11" s="1" t="s">
        <v>55</v>
      </c>
      <c r="AC11" s="12" t="s">
        <v>38</v>
      </c>
      <c r="AD11" s="13">
        <v>0.06</v>
      </c>
      <c r="AE11" s="14" t="s">
        <v>39</v>
      </c>
      <c r="AF11" s="15"/>
      <c r="AG11" s="1">
        <v>2231000000</v>
      </c>
      <c r="AH11" s="1" t="s">
        <v>61</v>
      </c>
      <c r="AI11" s="1" t="s">
        <v>44</v>
      </c>
      <c r="AL11" s="1" t="str">
        <f t="shared" si="1"/>
        <v>"Investering","","","10000000","","unspsc","M","","","","","A","","A010","","1016","2231000000","False",""</v>
      </c>
    </row>
    <row r="12" spans="1:38" x14ac:dyDescent="0.25">
      <c r="A12" s="1">
        <v>100</v>
      </c>
      <c r="C12" s="1" t="s">
        <v>31</v>
      </c>
      <c r="F12" s="1">
        <v>4</v>
      </c>
      <c r="G12" s="1" t="s">
        <v>32</v>
      </c>
      <c r="H12" s="8">
        <v>9</v>
      </c>
      <c r="J12" s="1" t="s">
        <v>51</v>
      </c>
      <c r="K12" s="1" t="s">
        <v>55</v>
      </c>
      <c r="O12" s="11">
        <v>10000000</v>
      </c>
      <c r="Q12" s="1" t="s">
        <v>35</v>
      </c>
      <c r="R12" s="1" t="s">
        <v>36</v>
      </c>
      <c r="W12" s="1" t="s">
        <v>42</v>
      </c>
      <c r="Y12" s="1" t="s">
        <v>37</v>
      </c>
      <c r="AA12" s="12">
        <v>1016</v>
      </c>
      <c r="AB12" s="1" t="s">
        <v>55</v>
      </c>
      <c r="AC12" s="12" t="s">
        <v>52</v>
      </c>
      <c r="AD12" s="13">
        <v>0</v>
      </c>
      <c r="AE12" s="14" t="s">
        <v>53</v>
      </c>
      <c r="AF12" s="15"/>
      <c r="AG12" s="1">
        <v>4991000100</v>
      </c>
      <c r="AH12" s="1" t="s">
        <v>54</v>
      </c>
      <c r="AI12" s="1" t="s">
        <v>44</v>
      </c>
      <c r="AL12" s="1" t="str">
        <f t="shared" si="1"/>
        <v>"Doorrekening binnen AG SO","","","10000000","","unspsc","M","","","","","K","","A010","","1016","4991000100","False",""</v>
      </c>
    </row>
    <row r="13" spans="1:38" s="2" customFormat="1" x14ac:dyDescent="0.25">
      <c r="A13" s="1">
        <v>100</v>
      </c>
      <c r="C13" s="1" t="s">
        <v>62</v>
      </c>
      <c r="D13" s="1"/>
      <c r="E13" s="1"/>
      <c r="F13" s="2">
        <v>4</v>
      </c>
      <c r="G13" s="2" t="s">
        <v>32</v>
      </c>
      <c r="H13" s="8"/>
      <c r="I13" s="8"/>
      <c r="J13" s="2" t="s">
        <v>33</v>
      </c>
      <c r="K13" s="2" t="s">
        <v>63</v>
      </c>
      <c r="L13" s="1"/>
      <c r="M13" s="1"/>
      <c r="N13" s="1"/>
      <c r="O13" s="3">
        <v>10000000</v>
      </c>
      <c r="P13" s="1"/>
      <c r="Q13" s="1" t="s">
        <v>35</v>
      </c>
      <c r="R13" s="1" t="s">
        <v>36</v>
      </c>
      <c r="S13" s="1"/>
      <c r="T13" s="1"/>
      <c r="U13" s="1"/>
      <c r="V13" s="1"/>
      <c r="W13" s="1"/>
      <c r="X13" s="1"/>
      <c r="Y13" s="1" t="s">
        <v>37</v>
      </c>
      <c r="AA13" s="4">
        <v>1013</v>
      </c>
      <c r="AB13" s="2" t="s">
        <v>64</v>
      </c>
      <c r="AC13" s="5" t="s">
        <v>65</v>
      </c>
      <c r="AD13" s="9">
        <v>0.21</v>
      </c>
      <c r="AE13" s="10" t="s">
        <v>39</v>
      </c>
      <c r="AF13" s="7"/>
      <c r="AI13" s="2" t="s">
        <v>40</v>
      </c>
      <c r="AL13" s="1" t="str">
        <f t="shared" si="1"/>
        <v>"Maak je keuze","","","10000000","","unspsc","M","","","","","","","A010","","1013","","True",""</v>
      </c>
    </row>
    <row r="14" spans="1:38" x14ac:dyDescent="0.25">
      <c r="A14" s="1">
        <v>100</v>
      </c>
      <c r="C14" s="1" t="s">
        <v>62</v>
      </c>
      <c r="F14" s="1">
        <v>4</v>
      </c>
      <c r="G14" s="1" t="s">
        <v>32</v>
      </c>
      <c r="H14" s="8">
        <v>17</v>
      </c>
      <c r="J14" s="1" t="s">
        <v>41</v>
      </c>
      <c r="K14" s="1" t="s">
        <v>63</v>
      </c>
      <c r="O14" s="11">
        <v>10000000</v>
      </c>
      <c r="Q14" s="1" t="s">
        <v>35</v>
      </c>
      <c r="R14" s="1" t="s">
        <v>36</v>
      </c>
      <c r="W14" s="1" t="s">
        <v>42</v>
      </c>
      <c r="Y14" s="1" t="s">
        <v>37</v>
      </c>
      <c r="AA14" s="12">
        <v>1013</v>
      </c>
      <c r="AB14" s="1" t="s">
        <v>64</v>
      </c>
      <c r="AC14" s="12" t="s">
        <v>65</v>
      </c>
      <c r="AD14" s="13">
        <v>0.21</v>
      </c>
      <c r="AE14" s="14" t="s">
        <v>39</v>
      </c>
      <c r="AF14" s="15"/>
      <c r="AG14" s="1">
        <v>6141100100</v>
      </c>
      <c r="AH14" s="1" t="s">
        <v>66</v>
      </c>
      <c r="AI14" s="1" t="s">
        <v>44</v>
      </c>
      <c r="AL14" s="1" t="str">
        <f t="shared" si="1"/>
        <v>"Operationele werking","","","10000000","","unspsc","M","","","","","K","","A010","","1013","6141100100","False",""</v>
      </c>
    </row>
    <row r="15" spans="1:38" x14ac:dyDescent="0.25">
      <c r="A15" s="1">
        <v>100</v>
      </c>
      <c r="C15" s="1" t="s">
        <v>62</v>
      </c>
      <c r="F15" s="1">
        <v>4</v>
      </c>
      <c r="G15" s="1" t="s">
        <v>32</v>
      </c>
      <c r="H15" s="8">
        <v>3</v>
      </c>
      <c r="J15" s="1" t="s">
        <v>45</v>
      </c>
      <c r="K15" s="1" t="s">
        <v>63</v>
      </c>
      <c r="O15" s="11">
        <v>10000000</v>
      </c>
      <c r="Q15" s="1" t="s">
        <v>35</v>
      </c>
      <c r="R15" s="1" t="s">
        <v>36</v>
      </c>
      <c r="W15" s="1" t="s">
        <v>42</v>
      </c>
      <c r="Y15" s="1" t="s">
        <v>37</v>
      </c>
      <c r="AA15" s="12">
        <v>1013</v>
      </c>
      <c r="AB15" s="1" t="s">
        <v>64</v>
      </c>
      <c r="AC15" s="12" t="s">
        <v>65</v>
      </c>
      <c r="AD15" s="13">
        <v>0.21</v>
      </c>
      <c r="AE15" s="14" t="s">
        <v>39</v>
      </c>
      <c r="AF15" s="15"/>
      <c r="AG15" s="1">
        <v>6161000200</v>
      </c>
      <c r="AH15" s="1" t="s">
        <v>45</v>
      </c>
      <c r="AI15" s="1" t="s">
        <v>44</v>
      </c>
      <c r="AL15" s="1" t="str">
        <f t="shared" si="1"/>
        <v>"Didactisch materiaal","","","10000000","","unspsc","M","","","","","K","","A010","","1013","6161000200","False",""</v>
      </c>
    </row>
    <row r="16" spans="1:38" x14ac:dyDescent="0.25">
      <c r="A16" s="1">
        <v>100</v>
      </c>
      <c r="B16" s="2"/>
      <c r="C16" s="1" t="s">
        <v>31</v>
      </c>
      <c r="D16" s="1" t="s">
        <v>67</v>
      </c>
      <c r="F16" s="2">
        <v>7</v>
      </c>
      <c r="G16" s="2" t="s">
        <v>68</v>
      </c>
      <c r="J16" s="2" t="s">
        <v>33</v>
      </c>
      <c r="K16" s="2" t="s">
        <v>69</v>
      </c>
      <c r="O16" s="3">
        <v>25000000</v>
      </c>
      <c r="Q16" s="1" t="s">
        <v>35</v>
      </c>
      <c r="R16" s="1" t="s">
        <v>36</v>
      </c>
      <c r="Y16" s="1" t="s">
        <v>37</v>
      </c>
      <c r="Z16" s="2"/>
      <c r="AA16" s="4">
        <v>2510</v>
      </c>
      <c r="AB16" s="2" t="s">
        <v>70</v>
      </c>
      <c r="AC16" s="5" t="s">
        <v>65</v>
      </c>
      <c r="AD16" s="9">
        <v>0.21</v>
      </c>
      <c r="AE16" s="10" t="s">
        <v>39</v>
      </c>
      <c r="AF16" s="7"/>
      <c r="AG16" s="2"/>
      <c r="AH16" s="2"/>
      <c r="AI16" s="2" t="s">
        <v>40</v>
      </c>
      <c r="AJ16" s="2"/>
      <c r="AK16" s="2"/>
      <c r="AL16" s="1" t="str">
        <f t="shared" si="1"/>
        <v>"Maak je keuze","","","25000000","","unspsc","M","","","","","","","A010","","2510","","True",""</v>
      </c>
    </row>
    <row r="17" spans="1:38" x14ac:dyDescent="0.25">
      <c r="A17" s="1">
        <v>100</v>
      </c>
      <c r="C17" s="1" t="s">
        <v>31</v>
      </c>
      <c r="D17" s="1" t="s">
        <v>67</v>
      </c>
      <c r="F17" s="1">
        <v>7</v>
      </c>
      <c r="G17" s="1" t="s">
        <v>68</v>
      </c>
      <c r="H17" s="8">
        <v>17</v>
      </c>
      <c r="J17" s="1" t="s">
        <v>41</v>
      </c>
      <c r="K17" s="1" t="s">
        <v>69</v>
      </c>
      <c r="O17" s="11">
        <v>25000000</v>
      </c>
      <c r="Q17" s="1" t="s">
        <v>35</v>
      </c>
      <c r="R17" s="1" t="s">
        <v>36</v>
      </c>
      <c r="W17" s="1" t="s">
        <v>42</v>
      </c>
      <c r="Y17" s="1" t="s">
        <v>37</v>
      </c>
      <c r="AA17" s="12">
        <v>2510</v>
      </c>
      <c r="AB17" s="1" t="s">
        <v>70</v>
      </c>
      <c r="AC17" s="12" t="s">
        <v>65</v>
      </c>
      <c r="AD17" s="13">
        <v>0.21</v>
      </c>
      <c r="AE17" s="14" t="s">
        <v>39</v>
      </c>
      <c r="AF17" s="15"/>
      <c r="AG17" s="18">
        <v>6142000100</v>
      </c>
      <c r="AH17" s="1" t="s">
        <v>71</v>
      </c>
      <c r="AI17" s="1" t="s">
        <v>44</v>
      </c>
      <c r="AL17" s="1" t="str">
        <f t="shared" si="1"/>
        <v>"Operationele werking","","","25000000","","unspsc","M","","","","","K","","A010","","2510","6142000100","False",""</v>
      </c>
    </row>
    <row r="18" spans="1:38" s="2" customFormat="1" x14ac:dyDescent="0.25">
      <c r="A18" s="1">
        <v>100</v>
      </c>
      <c r="B18" s="1"/>
      <c r="C18" s="1" t="s">
        <v>31</v>
      </c>
      <c r="D18" s="1" t="s">
        <v>67</v>
      </c>
      <c r="E18" s="1"/>
      <c r="F18" s="1">
        <v>7</v>
      </c>
      <c r="G18" s="1" t="s">
        <v>68</v>
      </c>
      <c r="H18" s="8">
        <v>9</v>
      </c>
      <c r="I18" s="8"/>
      <c r="J18" s="1" t="s">
        <v>59</v>
      </c>
      <c r="K18" s="1" t="s">
        <v>69</v>
      </c>
      <c r="L18" s="1"/>
      <c r="M18" s="1"/>
      <c r="N18" s="1"/>
      <c r="O18" s="11">
        <v>25000000</v>
      </c>
      <c r="P18" s="1"/>
      <c r="Q18" s="1" t="s">
        <v>35</v>
      </c>
      <c r="R18" s="1" t="s">
        <v>36</v>
      </c>
      <c r="S18" s="1"/>
      <c r="T18" s="1"/>
      <c r="U18" s="1"/>
      <c r="V18" s="1"/>
      <c r="W18" s="1" t="s">
        <v>60</v>
      </c>
      <c r="X18" s="1"/>
      <c r="Y18" s="1" t="s">
        <v>37</v>
      </c>
      <c r="Z18" s="1"/>
      <c r="AA18" s="12">
        <v>2510</v>
      </c>
      <c r="AB18" s="1" t="s">
        <v>70</v>
      </c>
      <c r="AC18" s="12" t="s">
        <v>65</v>
      </c>
      <c r="AD18" s="13">
        <v>0.21</v>
      </c>
      <c r="AE18" s="14" t="s">
        <v>39</v>
      </c>
      <c r="AF18" s="15"/>
      <c r="AG18" s="1">
        <v>2410000000</v>
      </c>
      <c r="AH18" s="1" t="s">
        <v>72</v>
      </c>
      <c r="AI18" s="1" t="s">
        <v>44</v>
      </c>
      <c r="AJ18" s="1"/>
      <c r="AK18" s="1"/>
      <c r="AL18" s="1" t="str">
        <f t="shared" si="1"/>
        <v>"Investering","","","25000000","","unspsc","M","","","","","A","","A010","","2510","2410000000","False",""</v>
      </c>
    </row>
    <row r="19" spans="1:38" x14ac:dyDescent="0.25">
      <c r="A19" s="1">
        <v>100</v>
      </c>
      <c r="B19" s="2"/>
      <c r="C19" s="1" t="s">
        <v>62</v>
      </c>
      <c r="F19" s="2">
        <v>14</v>
      </c>
      <c r="G19" s="2" t="s">
        <v>73</v>
      </c>
      <c r="J19" s="2" t="s">
        <v>33</v>
      </c>
      <c r="K19" s="2"/>
      <c r="O19" s="3">
        <v>27000000</v>
      </c>
      <c r="Q19" s="1" t="s">
        <v>35</v>
      </c>
      <c r="R19" s="1" t="s">
        <v>36</v>
      </c>
      <c r="Y19" s="1" t="s">
        <v>37</v>
      </c>
      <c r="Z19" s="2"/>
      <c r="AA19" s="4">
        <v>2712</v>
      </c>
      <c r="AB19" s="2" t="s">
        <v>74</v>
      </c>
      <c r="AC19" s="5" t="s">
        <v>65</v>
      </c>
      <c r="AD19" s="9">
        <v>0.21</v>
      </c>
      <c r="AE19" s="10" t="s">
        <v>39</v>
      </c>
      <c r="AF19" s="19"/>
      <c r="AG19" s="2"/>
      <c r="AH19" s="2"/>
      <c r="AI19" s="2" t="s">
        <v>40</v>
      </c>
      <c r="AJ19" s="2"/>
      <c r="AK19" s="2"/>
      <c r="AL19" s="1" t="str">
        <f t="shared" si="1"/>
        <v>"Maak je keuze","","","27000000","","unspsc","M","","","","","","","A010","","2712","","True",""</v>
      </c>
    </row>
    <row r="20" spans="1:38" x14ac:dyDescent="0.25">
      <c r="A20" s="1">
        <v>100</v>
      </c>
      <c r="C20" s="1" t="s">
        <v>62</v>
      </c>
      <c r="F20" s="1">
        <v>14</v>
      </c>
      <c r="G20" s="1" t="s">
        <v>73</v>
      </c>
      <c r="H20" s="8">
        <v>17</v>
      </c>
      <c r="J20" s="1" t="s">
        <v>41</v>
      </c>
      <c r="O20" s="11">
        <v>27000000</v>
      </c>
      <c r="Q20" s="1" t="s">
        <v>35</v>
      </c>
      <c r="R20" s="1" t="s">
        <v>36</v>
      </c>
      <c r="W20" s="1" t="s">
        <v>42</v>
      </c>
      <c r="Y20" s="1" t="s">
        <v>37</v>
      </c>
      <c r="AA20" s="12">
        <v>2712</v>
      </c>
      <c r="AB20" s="1" t="s">
        <v>74</v>
      </c>
      <c r="AC20" s="12" t="s">
        <v>65</v>
      </c>
      <c r="AD20" s="13">
        <v>0.21</v>
      </c>
      <c r="AE20" s="14" t="s">
        <v>39</v>
      </c>
      <c r="AG20" s="1">
        <v>6141100100</v>
      </c>
      <c r="AH20" s="1" t="s">
        <v>66</v>
      </c>
      <c r="AI20" s="1" t="s">
        <v>44</v>
      </c>
      <c r="AL20" s="1" t="str">
        <f t="shared" si="1"/>
        <v>"Operationele werking","","","27000000","","unspsc","M","","","","","K","","A010","","2712","6141100100","False",""</v>
      </c>
    </row>
    <row r="21" spans="1:38" x14ac:dyDescent="0.25">
      <c r="A21" s="1">
        <v>100</v>
      </c>
      <c r="B21" s="1" t="s">
        <v>75</v>
      </c>
      <c r="C21" s="1" t="s">
        <v>62</v>
      </c>
      <c r="F21" s="1">
        <v>14</v>
      </c>
      <c r="G21" s="1" t="s">
        <v>73</v>
      </c>
      <c r="H21" s="8">
        <v>9</v>
      </c>
      <c r="J21" s="1" t="s">
        <v>59</v>
      </c>
      <c r="O21" s="11">
        <v>27000000</v>
      </c>
      <c r="Q21" s="1" t="s">
        <v>35</v>
      </c>
      <c r="R21" s="1" t="s">
        <v>36</v>
      </c>
      <c r="W21" s="1" t="s">
        <v>60</v>
      </c>
      <c r="Y21" s="1" t="s">
        <v>37</v>
      </c>
      <c r="AA21" s="12">
        <v>2712</v>
      </c>
      <c r="AB21" s="1" t="s">
        <v>74</v>
      </c>
      <c r="AC21" s="12" t="s">
        <v>65</v>
      </c>
      <c r="AD21" s="13">
        <v>0.21</v>
      </c>
      <c r="AE21" s="14" t="s">
        <v>39</v>
      </c>
      <c r="AG21" s="1">
        <v>2301000000</v>
      </c>
      <c r="AH21" s="1" t="s">
        <v>76</v>
      </c>
      <c r="AI21" s="1" t="s">
        <v>44</v>
      </c>
      <c r="AL21" s="1" t="str">
        <f t="shared" si="1"/>
        <v>"Investering","","","27000000","","unspsc","M","","","","","A","","A010","","2712","2301000000","False",""</v>
      </c>
    </row>
    <row r="22" spans="1:38" x14ac:dyDescent="0.25">
      <c r="A22" s="1">
        <v>100</v>
      </c>
      <c r="B22" s="2" t="s">
        <v>77</v>
      </c>
      <c r="C22" s="1" t="s">
        <v>31</v>
      </c>
      <c r="F22" s="2">
        <v>14</v>
      </c>
      <c r="G22" s="2" t="s">
        <v>73</v>
      </c>
      <c r="J22" s="2" t="s">
        <v>33</v>
      </c>
      <c r="K22" s="2"/>
      <c r="O22" s="3">
        <v>27000000</v>
      </c>
      <c r="Q22" s="1" t="s">
        <v>35</v>
      </c>
      <c r="R22" s="1" t="s">
        <v>36</v>
      </c>
      <c r="Y22" s="1" t="s">
        <v>37</v>
      </c>
      <c r="Z22" s="2"/>
      <c r="AA22" s="4">
        <v>27</v>
      </c>
      <c r="AB22" s="2" t="s">
        <v>78</v>
      </c>
      <c r="AC22" s="5" t="s">
        <v>65</v>
      </c>
      <c r="AD22" s="9">
        <v>0.21</v>
      </c>
      <c r="AE22" s="10" t="s">
        <v>39</v>
      </c>
      <c r="AF22" s="7"/>
      <c r="AG22" s="2"/>
      <c r="AH22" s="2"/>
      <c r="AI22" s="2" t="s">
        <v>40</v>
      </c>
      <c r="AJ22" s="2"/>
      <c r="AK22" s="2"/>
      <c r="AL22" s="1" t="str">
        <f t="shared" si="1"/>
        <v>"Maak je keuze","","","27000000","","unspsc","M","","","","","","","A010","","27","","True",""</v>
      </c>
    </row>
    <row r="23" spans="1:38" x14ac:dyDescent="0.25">
      <c r="A23" s="1">
        <v>100</v>
      </c>
      <c r="B23" s="1" t="s">
        <v>77</v>
      </c>
      <c r="C23" s="1" t="s">
        <v>31</v>
      </c>
      <c r="D23" s="1" t="s">
        <v>79</v>
      </c>
      <c r="F23" s="1">
        <v>14</v>
      </c>
      <c r="G23" s="1" t="s">
        <v>73</v>
      </c>
      <c r="H23" s="8">
        <v>17</v>
      </c>
      <c r="J23" s="1" t="s">
        <v>41</v>
      </c>
      <c r="O23" s="11">
        <v>27000000</v>
      </c>
      <c r="Q23" s="1" t="s">
        <v>35</v>
      </c>
      <c r="R23" s="1" t="s">
        <v>36</v>
      </c>
      <c r="W23" s="1" t="s">
        <v>42</v>
      </c>
      <c r="Y23" s="1" t="s">
        <v>37</v>
      </c>
      <c r="AA23" s="12">
        <v>27</v>
      </c>
      <c r="AB23" s="1" t="s">
        <v>78</v>
      </c>
      <c r="AC23" s="12" t="s">
        <v>65</v>
      </c>
      <c r="AD23" s="13">
        <v>0.21</v>
      </c>
      <c r="AE23" s="14" t="s">
        <v>39</v>
      </c>
      <c r="AF23" s="15"/>
      <c r="AG23" s="1">
        <v>6141100100</v>
      </c>
      <c r="AH23" s="1" t="s">
        <v>66</v>
      </c>
      <c r="AI23" s="1" t="s">
        <v>44</v>
      </c>
      <c r="AL23" s="1" t="str">
        <f t="shared" si="1"/>
        <v>"Operationele werking","","","27000000","","unspsc","M","","","","","K","","A010","","27","6141100100","False",""</v>
      </c>
    </row>
    <row r="24" spans="1:38" s="2" customFormat="1" x14ac:dyDescent="0.25">
      <c r="A24" s="1">
        <v>100</v>
      </c>
      <c r="B24" s="1" t="s">
        <v>77</v>
      </c>
      <c r="C24" s="1" t="s">
        <v>31</v>
      </c>
      <c r="D24" s="1" t="s">
        <v>79</v>
      </c>
      <c r="E24" s="1"/>
      <c r="F24" s="1">
        <v>14</v>
      </c>
      <c r="G24" s="1" t="s">
        <v>73</v>
      </c>
      <c r="H24" s="8">
        <v>9</v>
      </c>
      <c r="I24" s="8"/>
      <c r="J24" s="1" t="s">
        <v>59</v>
      </c>
      <c r="K24" s="1"/>
      <c r="L24" s="1"/>
      <c r="M24" s="1"/>
      <c r="N24" s="1"/>
      <c r="O24" s="11">
        <v>27000000</v>
      </c>
      <c r="P24" s="1"/>
      <c r="Q24" s="1" t="s">
        <v>35</v>
      </c>
      <c r="R24" s="1" t="s">
        <v>36</v>
      </c>
      <c r="S24" s="1"/>
      <c r="T24" s="1"/>
      <c r="U24" s="1"/>
      <c r="V24" s="1"/>
      <c r="W24" s="1" t="s">
        <v>60</v>
      </c>
      <c r="X24" s="1"/>
      <c r="Y24" s="1" t="s">
        <v>37</v>
      </c>
      <c r="Z24" s="1"/>
      <c r="AA24" s="12">
        <v>27</v>
      </c>
      <c r="AB24" s="1" t="s">
        <v>78</v>
      </c>
      <c r="AC24" s="12" t="s">
        <v>65</v>
      </c>
      <c r="AD24" s="13">
        <v>0.21</v>
      </c>
      <c r="AE24" s="14" t="s">
        <v>39</v>
      </c>
      <c r="AF24" s="15"/>
      <c r="AG24" s="1">
        <v>2301000000</v>
      </c>
      <c r="AH24" s="1" t="s">
        <v>76</v>
      </c>
      <c r="AI24" s="1" t="s">
        <v>44</v>
      </c>
      <c r="AJ24" s="1"/>
      <c r="AK24" s="1"/>
      <c r="AL24" s="1" t="str">
        <f t="shared" si="1"/>
        <v>"Investering","","","27000000","","unspsc","M","","","","","A","","A010","","27","2301000000","False",""</v>
      </c>
    </row>
    <row r="25" spans="1:38" x14ac:dyDescent="0.25">
      <c r="A25" s="1">
        <v>100</v>
      </c>
      <c r="C25" s="1" t="s">
        <v>62</v>
      </c>
      <c r="D25" s="1" t="s">
        <v>80</v>
      </c>
      <c r="E25" s="1" t="s">
        <v>81</v>
      </c>
      <c r="F25" s="1">
        <v>6</v>
      </c>
      <c r="G25" s="1" t="s">
        <v>82</v>
      </c>
      <c r="J25" s="1" t="s">
        <v>33</v>
      </c>
      <c r="K25" s="1" t="s">
        <v>83</v>
      </c>
      <c r="O25" s="11">
        <v>30000000</v>
      </c>
      <c r="Q25" s="1" t="s">
        <v>35</v>
      </c>
      <c r="R25" s="1" t="s">
        <v>36</v>
      </c>
      <c r="Y25" s="1" t="s">
        <v>37</v>
      </c>
      <c r="AA25" s="20">
        <v>30</v>
      </c>
      <c r="AB25" s="2" t="s">
        <v>84</v>
      </c>
      <c r="AC25" s="5" t="s">
        <v>65</v>
      </c>
      <c r="AD25" s="9">
        <v>0.21</v>
      </c>
      <c r="AE25" s="10" t="s">
        <v>39</v>
      </c>
      <c r="AI25" s="2" t="s">
        <v>40</v>
      </c>
      <c r="AL25" s="1" t="str">
        <f t="shared" si="1"/>
        <v>"Maak je keuze","","","30000000","","unspsc","M","","","","","","","A010","","30","","True",""</v>
      </c>
    </row>
    <row r="26" spans="1:38" x14ac:dyDescent="0.25">
      <c r="A26" s="1">
        <v>100</v>
      </c>
      <c r="B26" s="1" t="s">
        <v>85</v>
      </c>
      <c r="C26" s="1" t="s">
        <v>31</v>
      </c>
      <c r="E26" s="1" t="s">
        <v>81</v>
      </c>
      <c r="F26" s="1">
        <v>6</v>
      </c>
      <c r="G26" s="1" t="s">
        <v>82</v>
      </c>
      <c r="H26" s="8">
        <v>17</v>
      </c>
      <c r="J26" s="1" t="s">
        <v>41</v>
      </c>
      <c r="K26" s="1" t="s">
        <v>83</v>
      </c>
      <c r="O26" s="11">
        <v>30000000</v>
      </c>
      <c r="Q26" s="1" t="s">
        <v>35</v>
      </c>
      <c r="R26" s="1" t="s">
        <v>36</v>
      </c>
      <c r="W26" s="1" t="s">
        <v>42</v>
      </c>
      <c r="Y26" s="1" t="s">
        <v>37</v>
      </c>
      <c r="AA26" s="12">
        <v>30</v>
      </c>
      <c r="AB26" s="1" t="s">
        <v>84</v>
      </c>
      <c r="AC26" s="12" t="s">
        <v>65</v>
      </c>
      <c r="AD26" s="13">
        <v>0.21</v>
      </c>
      <c r="AE26" s="14" t="s">
        <v>39</v>
      </c>
      <c r="AG26" s="1">
        <v>6141100100</v>
      </c>
      <c r="AH26" s="1" t="s">
        <v>66</v>
      </c>
      <c r="AI26" s="1" t="s">
        <v>44</v>
      </c>
      <c r="AL26" s="1" t="str">
        <f t="shared" si="1"/>
        <v>"Operationele werking","","","30000000","","unspsc","M","","","","","K","","A010","","30","6141100100","False",""</v>
      </c>
    </row>
    <row r="27" spans="1:38" s="2" customFormat="1" x14ac:dyDescent="0.25">
      <c r="A27" s="1">
        <v>100</v>
      </c>
      <c r="B27" s="21" t="s">
        <v>85</v>
      </c>
      <c r="C27" s="21" t="s">
        <v>31</v>
      </c>
      <c r="D27" s="21"/>
      <c r="E27" s="21" t="s">
        <v>81</v>
      </c>
      <c r="F27" s="21">
        <v>6</v>
      </c>
      <c r="G27" s="21" t="s">
        <v>82</v>
      </c>
      <c r="H27" s="8">
        <v>9</v>
      </c>
      <c r="I27" s="22"/>
      <c r="J27" s="21" t="s">
        <v>59</v>
      </c>
      <c r="K27" s="21" t="s">
        <v>83</v>
      </c>
      <c r="L27" s="21"/>
      <c r="M27" s="21"/>
      <c r="N27" s="21"/>
      <c r="O27" s="23">
        <v>30000000</v>
      </c>
      <c r="P27" s="21"/>
      <c r="Q27" s="21" t="s">
        <v>35</v>
      </c>
      <c r="R27" s="21" t="s">
        <v>36</v>
      </c>
      <c r="S27" s="21"/>
      <c r="T27" s="21"/>
      <c r="U27" s="21"/>
      <c r="V27" s="21"/>
      <c r="W27" s="24" t="s">
        <v>60</v>
      </c>
      <c r="X27" s="21"/>
      <c r="Y27" s="21" t="s">
        <v>37</v>
      </c>
      <c r="Z27" s="21"/>
      <c r="AA27" s="25">
        <v>30</v>
      </c>
      <c r="AB27" s="21" t="s">
        <v>84</v>
      </c>
      <c r="AC27" s="25" t="s">
        <v>65</v>
      </c>
      <c r="AD27" s="26">
        <v>0.21</v>
      </c>
      <c r="AE27" s="27" t="s">
        <v>39</v>
      </c>
      <c r="AF27" s="28"/>
      <c r="AG27" s="21">
        <v>2301000000</v>
      </c>
      <c r="AH27" s="21" t="s">
        <v>76</v>
      </c>
      <c r="AI27" s="21" t="s">
        <v>44</v>
      </c>
      <c r="AJ27" s="21"/>
      <c r="AK27" s="21"/>
      <c r="AL27" s="1" t="str">
        <f t="shared" si="1"/>
        <v>"Investering","","","30000000","","unspsc","M","","","","","A","","A010","","30","2301000000","False",""</v>
      </c>
    </row>
    <row r="28" spans="1:38" s="21" customFormat="1" x14ac:dyDescent="0.25">
      <c r="A28" s="1">
        <v>100</v>
      </c>
      <c r="C28" s="21" t="s">
        <v>31</v>
      </c>
      <c r="E28" s="21" t="s">
        <v>86</v>
      </c>
      <c r="F28" s="21">
        <v>14</v>
      </c>
      <c r="G28" s="21" t="s">
        <v>73</v>
      </c>
      <c r="H28" s="8"/>
      <c r="I28" s="22"/>
      <c r="J28" s="21" t="s">
        <v>33</v>
      </c>
      <c r="O28" s="23">
        <v>31000000</v>
      </c>
      <c r="Q28" s="21" t="s">
        <v>35</v>
      </c>
      <c r="R28" s="21" t="s">
        <v>36</v>
      </c>
      <c r="Y28" s="21" t="s">
        <v>37</v>
      </c>
      <c r="AA28" s="29">
        <v>31</v>
      </c>
      <c r="AB28" s="30" t="s">
        <v>87</v>
      </c>
      <c r="AC28" s="31" t="s">
        <v>38</v>
      </c>
      <c r="AD28" s="32">
        <v>0.06</v>
      </c>
      <c r="AE28" s="33" t="s">
        <v>39</v>
      </c>
      <c r="AF28" s="28"/>
      <c r="AI28" s="30" t="s">
        <v>40</v>
      </c>
      <c r="AL28" s="1" t="str">
        <f t="shared" si="1"/>
        <v>"Maak je keuze","","","31000000","","unspsc","M","","","","","","","A010","","31","","True",""</v>
      </c>
    </row>
    <row r="29" spans="1:38" s="21" customFormat="1" x14ac:dyDescent="0.25">
      <c r="A29" s="1">
        <v>100</v>
      </c>
      <c r="C29" s="21" t="s">
        <v>31</v>
      </c>
      <c r="E29" s="21" t="s">
        <v>86</v>
      </c>
      <c r="F29" s="21">
        <v>14</v>
      </c>
      <c r="G29" s="21" t="s">
        <v>73</v>
      </c>
      <c r="H29" s="8">
        <v>17</v>
      </c>
      <c r="I29" s="22"/>
      <c r="J29" s="21" t="s">
        <v>41</v>
      </c>
      <c r="O29" s="23">
        <v>31000000</v>
      </c>
      <c r="Q29" s="21" t="s">
        <v>35</v>
      </c>
      <c r="R29" s="21" t="s">
        <v>36</v>
      </c>
      <c r="W29" s="21" t="s">
        <v>42</v>
      </c>
      <c r="Y29" s="21" t="s">
        <v>37</v>
      </c>
      <c r="AA29" s="25">
        <v>31</v>
      </c>
      <c r="AB29" s="21" t="s">
        <v>87</v>
      </c>
      <c r="AC29" s="34" t="s">
        <v>38</v>
      </c>
      <c r="AD29" s="35">
        <v>0.06</v>
      </c>
      <c r="AE29" s="27" t="s">
        <v>39</v>
      </c>
      <c r="AF29" s="28"/>
      <c r="AG29" s="21">
        <v>6141100100</v>
      </c>
      <c r="AH29" s="21" t="s">
        <v>66</v>
      </c>
      <c r="AI29" s="21" t="s">
        <v>44</v>
      </c>
      <c r="AL29" s="1" t="str">
        <f t="shared" si="1"/>
        <v>"Operationele werking","","","31000000","","unspsc","M","","","","","K","","A010","","31","6141100100","False",""</v>
      </c>
    </row>
    <row r="30" spans="1:38" s="21" customFormat="1" x14ac:dyDescent="0.25">
      <c r="A30" s="1">
        <v>100</v>
      </c>
      <c r="C30" s="21" t="s">
        <v>31</v>
      </c>
      <c r="E30" s="21" t="s">
        <v>86</v>
      </c>
      <c r="F30" s="21">
        <v>14</v>
      </c>
      <c r="G30" s="21" t="s">
        <v>73</v>
      </c>
      <c r="H30" s="8">
        <v>9</v>
      </c>
      <c r="I30" s="22"/>
      <c r="J30" s="21" t="s">
        <v>59</v>
      </c>
      <c r="O30" s="23">
        <v>31000000</v>
      </c>
      <c r="Q30" s="21" t="s">
        <v>35</v>
      </c>
      <c r="R30" s="21" t="s">
        <v>36</v>
      </c>
      <c r="W30" s="21" t="s">
        <v>60</v>
      </c>
      <c r="Y30" s="21" t="s">
        <v>37</v>
      </c>
      <c r="AA30" s="25">
        <v>31</v>
      </c>
      <c r="AB30" s="21" t="s">
        <v>87</v>
      </c>
      <c r="AC30" s="34" t="s">
        <v>38</v>
      </c>
      <c r="AD30" s="35">
        <v>0.06</v>
      </c>
      <c r="AE30" s="27" t="s">
        <v>39</v>
      </c>
      <c r="AF30" s="28"/>
      <c r="AG30" s="21">
        <v>2301000000</v>
      </c>
      <c r="AH30" s="21" t="s">
        <v>76</v>
      </c>
      <c r="AI30" s="21" t="s">
        <v>44</v>
      </c>
      <c r="AL30" s="1" t="str">
        <f t="shared" si="1"/>
        <v>"Investering","","","31000000","","unspsc","M","","","","","A","","A010","","31","2301000000","False",""</v>
      </c>
    </row>
    <row r="31" spans="1:38" s="2" customFormat="1" x14ac:dyDescent="0.25">
      <c r="A31" s="1">
        <v>100</v>
      </c>
      <c r="C31" s="1" t="s">
        <v>31</v>
      </c>
      <c r="D31" s="1" t="s">
        <v>79</v>
      </c>
      <c r="E31" s="1"/>
      <c r="F31" s="2">
        <v>14</v>
      </c>
      <c r="G31" s="2" t="s">
        <v>73</v>
      </c>
      <c r="H31" s="8"/>
      <c r="I31" s="8"/>
      <c r="J31" s="2" t="s">
        <v>33</v>
      </c>
      <c r="L31" s="1"/>
      <c r="M31" s="1"/>
      <c r="N31" s="1"/>
      <c r="O31" s="3">
        <v>39000000</v>
      </c>
      <c r="P31" s="1"/>
      <c r="Q31" s="1" t="s">
        <v>35</v>
      </c>
      <c r="R31" s="1" t="s">
        <v>36</v>
      </c>
      <c r="S31" s="1"/>
      <c r="T31" s="1"/>
      <c r="U31" s="1"/>
      <c r="V31" s="1"/>
      <c r="W31" s="1"/>
      <c r="X31" s="1"/>
      <c r="Y31" s="1" t="s">
        <v>37</v>
      </c>
      <c r="AA31" s="4">
        <v>39</v>
      </c>
      <c r="AB31" s="2" t="s">
        <v>88</v>
      </c>
      <c r="AC31" s="5" t="s">
        <v>65</v>
      </c>
      <c r="AD31" s="9">
        <v>0.21</v>
      </c>
      <c r="AE31" s="10" t="s">
        <v>39</v>
      </c>
      <c r="AF31" s="7"/>
      <c r="AI31" s="2" t="s">
        <v>40</v>
      </c>
      <c r="AL31" s="1" t="str">
        <f t="shared" si="1"/>
        <v>"Maak je keuze","","","39000000","","unspsc","M","","","","","","","A010","","39","","True",""</v>
      </c>
    </row>
    <row r="32" spans="1:38" x14ac:dyDescent="0.25">
      <c r="A32" s="1">
        <v>100</v>
      </c>
      <c r="C32" s="1" t="s">
        <v>31</v>
      </c>
      <c r="D32" s="1" t="s">
        <v>79</v>
      </c>
      <c r="F32" s="1">
        <v>14</v>
      </c>
      <c r="G32" s="1" t="s">
        <v>73</v>
      </c>
      <c r="H32" s="8">
        <v>17</v>
      </c>
      <c r="J32" s="1" t="s">
        <v>41</v>
      </c>
      <c r="O32" s="11">
        <v>39000000</v>
      </c>
      <c r="Q32" s="1" t="s">
        <v>35</v>
      </c>
      <c r="R32" s="1" t="s">
        <v>36</v>
      </c>
      <c r="W32" s="1" t="s">
        <v>42</v>
      </c>
      <c r="Y32" s="1" t="s">
        <v>37</v>
      </c>
      <c r="AA32" s="12">
        <v>39</v>
      </c>
      <c r="AB32" s="1" t="s">
        <v>88</v>
      </c>
      <c r="AC32" s="12" t="s">
        <v>65</v>
      </c>
      <c r="AD32" s="13">
        <v>0.21</v>
      </c>
      <c r="AE32" s="14" t="s">
        <v>39</v>
      </c>
      <c r="AF32" s="15"/>
      <c r="AG32" s="1">
        <v>6141100100</v>
      </c>
      <c r="AH32" s="1" t="s">
        <v>66</v>
      </c>
      <c r="AI32" s="1" t="s">
        <v>44</v>
      </c>
      <c r="AL32" s="1" t="str">
        <f t="shared" si="1"/>
        <v>"Operationele werking","","","39000000","","unspsc","M","","","","","K","","A010","","39","6141100100","False",""</v>
      </c>
    </row>
    <row r="33" spans="1:38" x14ac:dyDescent="0.25">
      <c r="A33" s="1">
        <v>100</v>
      </c>
      <c r="C33" s="1" t="s">
        <v>31</v>
      </c>
      <c r="D33" s="1" t="s">
        <v>79</v>
      </c>
      <c r="F33" s="1">
        <v>14</v>
      </c>
      <c r="G33" s="1" t="s">
        <v>73</v>
      </c>
      <c r="H33" s="8">
        <v>9</v>
      </c>
      <c r="J33" s="1" t="s">
        <v>59</v>
      </c>
      <c r="O33" s="11">
        <v>39000000</v>
      </c>
      <c r="Q33" s="1" t="s">
        <v>35</v>
      </c>
      <c r="R33" s="1" t="s">
        <v>36</v>
      </c>
      <c r="W33" s="1" t="s">
        <v>60</v>
      </c>
      <c r="Y33" s="1" t="s">
        <v>37</v>
      </c>
      <c r="AA33" s="12">
        <v>39</v>
      </c>
      <c r="AB33" s="1" t="s">
        <v>88</v>
      </c>
      <c r="AC33" s="12" t="s">
        <v>65</v>
      </c>
      <c r="AD33" s="13">
        <v>0.21</v>
      </c>
      <c r="AE33" s="14" t="s">
        <v>39</v>
      </c>
      <c r="AF33" s="15"/>
      <c r="AG33" s="1">
        <v>2301000000</v>
      </c>
      <c r="AH33" s="1" t="s">
        <v>76</v>
      </c>
      <c r="AI33" s="1" t="s">
        <v>44</v>
      </c>
      <c r="AL33" s="1" t="str">
        <f t="shared" si="1"/>
        <v>"Investering","","","39000000","","unspsc","M","","","","","A","","A010","","39","2301000000","False",""</v>
      </c>
    </row>
    <row r="34" spans="1:38" x14ac:dyDescent="0.25">
      <c r="A34" s="1">
        <v>100</v>
      </c>
      <c r="B34" s="2" t="s">
        <v>89</v>
      </c>
      <c r="C34" s="1" t="s">
        <v>31</v>
      </c>
      <c r="F34" s="2">
        <v>14</v>
      </c>
      <c r="G34" s="2" t="s">
        <v>73</v>
      </c>
      <c r="J34" s="2" t="s">
        <v>33</v>
      </c>
      <c r="K34" s="2"/>
      <c r="O34" s="11">
        <v>40000000</v>
      </c>
      <c r="Q34" s="1" t="s">
        <v>35</v>
      </c>
      <c r="R34" s="1" t="s">
        <v>36</v>
      </c>
      <c r="Y34" s="1" t="s">
        <v>37</v>
      </c>
      <c r="Z34" s="2"/>
      <c r="AA34" s="4">
        <v>4015</v>
      </c>
      <c r="AB34" s="2" t="s">
        <v>90</v>
      </c>
      <c r="AC34" s="5" t="s">
        <v>91</v>
      </c>
      <c r="AD34" s="9">
        <v>0.21</v>
      </c>
      <c r="AE34" s="10" t="s">
        <v>53</v>
      </c>
      <c r="AF34" s="7"/>
      <c r="AG34" s="2"/>
      <c r="AH34" s="2"/>
      <c r="AI34" s="2" t="s">
        <v>40</v>
      </c>
      <c r="AJ34" s="2"/>
      <c r="AK34" s="2"/>
      <c r="AL34" s="1" t="str">
        <f t="shared" si="1"/>
        <v>"Maak je keuze","","","40000000","","unspsc","M","","","","","","","A010","","4015","","True",""</v>
      </c>
    </row>
    <row r="35" spans="1:38" s="2" customFormat="1" x14ac:dyDescent="0.25">
      <c r="A35" s="1">
        <v>100</v>
      </c>
      <c r="B35" s="1" t="s">
        <v>89</v>
      </c>
      <c r="C35" s="1" t="s">
        <v>31</v>
      </c>
      <c r="D35" s="1"/>
      <c r="E35" s="1"/>
      <c r="F35" s="1">
        <v>14</v>
      </c>
      <c r="G35" s="1" t="s">
        <v>73</v>
      </c>
      <c r="H35" s="8">
        <v>17</v>
      </c>
      <c r="I35" s="8"/>
      <c r="J35" s="1" t="s">
        <v>41</v>
      </c>
      <c r="K35" s="1"/>
      <c r="L35" s="1"/>
      <c r="M35" s="1"/>
      <c r="N35" s="1"/>
      <c r="O35" s="11">
        <v>40000000</v>
      </c>
      <c r="P35" s="1"/>
      <c r="Q35" s="1" t="s">
        <v>35</v>
      </c>
      <c r="R35" s="1" t="s">
        <v>36</v>
      </c>
      <c r="S35" s="1"/>
      <c r="T35" s="1"/>
      <c r="U35" s="1"/>
      <c r="V35" s="1"/>
      <c r="W35" s="1" t="s">
        <v>42</v>
      </c>
      <c r="X35" s="1"/>
      <c r="Y35" s="1" t="s">
        <v>37</v>
      </c>
      <c r="Z35" s="1"/>
      <c r="AA35" s="12">
        <v>4015</v>
      </c>
      <c r="AB35" s="1" t="s">
        <v>90</v>
      </c>
      <c r="AC35" s="12" t="s">
        <v>91</v>
      </c>
      <c r="AD35" s="13">
        <v>0.21</v>
      </c>
      <c r="AE35" s="14" t="s">
        <v>53</v>
      </c>
      <c r="AF35" s="15"/>
      <c r="AG35" s="1">
        <v>6141000100</v>
      </c>
      <c r="AH35" s="1" t="s">
        <v>92</v>
      </c>
      <c r="AI35" s="1" t="s">
        <v>44</v>
      </c>
      <c r="AJ35" s="1"/>
      <c r="AK35" s="1"/>
      <c r="AL35" s="1" t="str">
        <f t="shared" si="1"/>
        <v>"Operationele werking","","","40000000","","unspsc","M","","","","","K","","A010","","4015","6141000100","False",""</v>
      </c>
    </row>
    <row r="36" spans="1:38" x14ac:dyDescent="0.25">
      <c r="A36" s="1">
        <v>100</v>
      </c>
      <c r="B36" s="1" t="s">
        <v>89</v>
      </c>
      <c r="C36" s="1" t="s">
        <v>31</v>
      </c>
      <c r="F36" s="1">
        <v>14</v>
      </c>
      <c r="G36" s="1" t="s">
        <v>73</v>
      </c>
      <c r="H36" s="8">
        <v>9</v>
      </c>
      <c r="J36" s="1" t="s">
        <v>59</v>
      </c>
      <c r="O36" s="11">
        <v>40000000</v>
      </c>
      <c r="Q36" s="1" t="s">
        <v>35</v>
      </c>
      <c r="R36" s="1" t="s">
        <v>36</v>
      </c>
      <c r="W36" s="1" t="s">
        <v>60</v>
      </c>
      <c r="Y36" s="1" t="s">
        <v>37</v>
      </c>
      <c r="AA36" s="12">
        <v>4015</v>
      </c>
      <c r="AB36" s="1" t="s">
        <v>90</v>
      </c>
      <c r="AC36" s="12" t="s">
        <v>91</v>
      </c>
      <c r="AD36" s="13">
        <v>0.21</v>
      </c>
      <c r="AE36" s="14" t="s">
        <v>53</v>
      </c>
      <c r="AF36" s="15"/>
      <c r="AG36" s="1">
        <v>2300000000</v>
      </c>
      <c r="AH36" s="1" t="s">
        <v>93</v>
      </c>
      <c r="AI36" s="1" t="s">
        <v>44</v>
      </c>
      <c r="AL36" s="1" t="str">
        <f t="shared" si="1"/>
        <v>"Investering","","","40000000","","unspsc","M","","","","","A","","A010","","4015","2300000000","False",""</v>
      </c>
    </row>
    <row r="37" spans="1:38" x14ac:dyDescent="0.25">
      <c r="A37" s="1">
        <v>100</v>
      </c>
      <c r="B37" s="2"/>
      <c r="C37" s="1" t="s">
        <v>31</v>
      </c>
      <c r="F37" s="2">
        <v>5</v>
      </c>
      <c r="G37" s="2" t="s">
        <v>94</v>
      </c>
      <c r="J37" s="2" t="s">
        <v>33</v>
      </c>
      <c r="K37" s="2" t="s">
        <v>95</v>
      </c>
      <c r="O37" s="3">
        <v>43000000</v>
      </c>
      <c r="Q37" s="1" t="s">
        <v>35</v>
      </c>
      <c r="R37" s="1" t="s">
        <v>36</v>
      </c>
      <c r="Y37" s="1" t="s">
        <v>37</v>
      </c>
      <c r="Z37" s="2"/>
      <c r="AA37" s="4">
        <v>43211720</v>
      </c>
      <c r="AB37" s="2" t="s">
        <v>96</v>
      </c>
      <c r="AC37" s="5" t="s">
        <v>65</v>
      </c>
      <c r="AD37" s="9">
        <v>0.21</v>
      </c>
      <c r="AE37" s="10" t="s">
        <v>39</v>
      </c>
      <c r="AF37" s="7"/>
      <c r="AG37" s="2"/>
      <c r="AH37" s="2"/>
      <c r="AI37" s="2" t="s">
        <v>40</v>
      </c>
      <c r="AJ37" s="2"/>
      <c r="AK37" s="2"/>
      <c r="AL37" s="1" t="str">
        <f t="shared" si="1"/>
        <v>"Maak je keuze","","","43000000","","unspsc","M","","","","","","","A010","","43211720","","True",""</v>
      </c>
    </row>
    <row r="38" spans="1:38" x14ac:dyDescent="0.25">
      <c r="A38" s="1">
        <v>100</v>
      </c>
      <c r="C38" s="1" t="s">
        <v>31</v>
      </c>
      <c r="F38" s="1">
        <v>5</v>
      </c>
      <c r="G38" s="1" t="s">
        <v>94</v>
      </c>
      <c r="H38" s="8">
        <v>17</v>
      </c>
      <c r="J38" s="1" t="s">
        <v>41</v>
      </c>
      <c r="K38" s="1" t="s">
        <v>95</v>
      </c>
      <c r="O38" s="11">
        <v>43000000</v>
      </c>
      <c r="Q38" s="1" t="s">
        <v>35</v>
      </c>
      <c r="R38" s="1" t="s">
        <v>36</v>
      </c>
      <c r="W38" s="1" t="s">
        <v>42</v>
      </c>
      <c r="Y38" s="1" t="s">
        <v>37</v>
      </c>
      <c r="AA38" s="12">
        <v>43211720</v>
      </c>
      <c r="AB38" s="1" t="s">
        <v>96</v>
      </c>
      <c r="AC38" s="12" t="s">
        <v>65</v>
      </c>
      <c r="AD38" s="13">
        <v>0.21</v>
      </c>
      <c r="AE38" s="14" t="s">
        <v>39</v>
      </c>
      <c r="AF38" s="15"/>
      <c r="AG38" s="1">
        <v>6141000100</v>
      </c>
      <c r="AH38" s="1" t="s">
        <v>92</v>
      </c>
      <c r="AI38" s="1" t="s">
        <v>44</v>
      </c>
      <c r="AL38" s="1" t="str">
        <f t="shared" si="1"/>
        <v>"Operationele werking","","","43000000","","unspsc","M","","","","","K","","A010","","43211720","6141000100","False",""</v>
      </c>
    </row>
    <row r="39" spans="1:38" x14ac:dyDescent="0.25">
      <c r="A39" s="1">
        <v>100</v>
      </c>
      <c r="C39" s="1" t="s">
        <v>31</v>
      </c>
      <c r="F39" s="1">
        <v>5</v>
      </c>
      <c r="G39" s="1" t="s">
        <v>94</v>
      </c>
      <c r="H39" s="8">
        <v>9</v>
      </c>
      <c r="J39" s="1" t="s">
        <v>59</v>
      </c>
      <c r="K39" s="1" t="s">
        <v>95</v>
      </c>
      <c r="O39" s="11">
        <v>43000000</v>
      </c>
      <c r="Q39" s="1" t="s">
        <v>35</v>
      </c>
      <c r="R39" s="1" t="s">
        <v>36</v>
      </c>
      <c r="W39" s="1" t="s">
        <v>60</v>
      </c>
      <c r="Y39" s="1" t="s">
        <v>37</v>
      </c>
      <c r="AA39" s="12">
        <v>43211720</v>
      </c>
      <c r="AB39" s="1" t="s">
        <v>96</v>
      </c>
      <c r="AC39" s="12" t="s">
        <v>65</v>
      </c>
      <c r="AD39" s="13">
        <v>0.21</v>
      </c>
      <c r="AE39" s="14" t="s">
        <v>39</v>
      </c>
      <c r="AF39" s="15"/>
      <c r="AG39" s="1">
        <v>2301000000</v>
      </c>
      <c r="AH39" s="1" t="s">
        <v>76</v>
      </c>
      <c r="AI39" s="1" t="s">
        <v>44</v>
      </c>
      <c r="AL39" s="1" t="str">
        <f t="shared" si="1"/>
        <v>"Investering","","","43000000","","unspsc","M","","","","","A","","A010","","43211720","2301000000","False",""</v>
      </c>
    </row>
    <row r="40" spans="1:38" x14ac:dyDescent="0.25">
      <c r="A40" s="1">
        <v>100</v>
      </c>
      <c r="B40" s="2"/>
      <c r="C40" s="1" t="s">
        <v>31</v>
      </c>
      <c r="F40" s="2">
        <v>5</v>
      </c>
      <c r="G40" s="2" t="s">
        <v>94</v>
      </c>
      <c r="J40" s="2" t="s">
        <v>33</v>
      </c>
      <c r="K40" s="2" t="s">
        <v>95</v>
      </c>
      <c r="O40" s="3">
        <v>43000000</v>
      </c>
      <c r="Q40" s="1" t="s">
        <v>35</v>
      </c>
      <c r="R40" s="1" t="s">
        <v>36</v>
      </c>
      <c r="Y40" s="1" t="s">
        <v>37</v>
      </c>
      <c r="Z40" s="2"/>
      <c r="AA40" s="4">
        <v>43211699</v>
      </c>
      <c r="AB40" s="2" t="s">
        <v>97</v>
      </c>
      <c r="AC40" s="5" t="s">
        <v>65</v>
      </c>
      <c r="AD40" s="9">
        <v>0.21</v>
      </c>
      <c r="AE40" s="10" t="s">
        <v>39</v>
      </c>
      <c r="AF40" s="7"/>
      <c r="AG40" s="2"/>
      <c r="AH40" s="2"/>
      <c r="AI40" s="2" t="s">
        <v>40</v>
      </c>
      <c r="AJ40" s="2"/>
      <c r="AK40" s="2"/>
      <c r="AL40" s="1" t="str">
        <f t="shared" si="1"/>
        <v>"Maak je keuze","","","43000000","","unspsc","M","","","","","","","A010","","43211699","","True",""</v>
      </c>
    </row>
    <row r="41" spans="1:38" x14ac:dyDescent="0.25">
      <c r="A41" s="1">
        <v>100</v>
      </c>
      <c r="C41" s="1" t="s">
        <v>31</v>
      </c>
      <c r="F41" s="1">
        <v>5</v>
      </c>
      <c r="G41" s="1" t="s">
        <v>94</v>
      </c>
      <c r="H41" s="8">
        <v>17</v>
      </c>
      <c r="J41" s="1" t="s">
        <v>41</v>
      </c>
      <c r="K41" s="1" t="s">
        <v>95</v>
      </c>
      <c r="O41" s="11">
        <v>43000000</v>
      </c>
      <c r="Q41" s="1" t="s">
        <v>35</v>
      </c>
      <c r="R41" s="1" t="s">
        <v>36</v>
      </c>
      <c r="W41" s="1" t="s">
        <v>42</v>
      </c>
      <c r="Y41" s="1" t="s">
        <v>37</v>
      </c>
      <c r="AA41" s="12">
        <v>43211699</v>
      </c>
      <c r="AB41" s="1" t="s">
        <v>97</v>
      </c>
      <c r="AC41" s="12" t="s">
        <v>65</v>
      </c>
      <c r="AD41" s="13">
        <v>0.21</v>
      </c>
      <c r="AE41" s="14" t="s">
        <v>39</v>
      </c>
      <c r="AF41" s="15"/>
      <c r="AG41" s="1">
        <v>6146000900</v>
      </c>
      <c r="AH41" s="1" t="s">
        <v>56</v>
      </c>
      <c r="AI41" s="1" t="s">
        <v>44</v>
      </c>
      <c r="AL41" s="1" t="str">
        <f t="shared" si="1"/>
        <v>"Operationele werking","","","43000000","","unspsc","M","","","","","K","","A010","","43211699","6146000900","False",""</v>
      </c>
    </row>
    <row r="42" spans="1:38" s="2" customFormat="1" x14ac:dyDescent="0.25">
      <c r="A42" s="1">
        <v>100</v>
      </c>
      <c r="B42" s="1"/>
      <c r="C42" s="1" t="s">
        <v>31</v>
      </c>
      <c r="D42" s="1"/>
      <c r="E42" s="1"/>
      <c r="F42" s="1">
        <v>5</v>
      </c>
      <c r="G42" s="1" t="s">
        <v>94</v>
      </c>
      <c r="H42" s="8">
        <v>9</v>
      </c>
      <c r="I42" s="8"/>
      <c r="J42" s="1" t="s">
        <v>59</v>
      </c>
      <c r="K42" s="1" t="s">
        <v>95</v>
      </c>
      <c r="L42" s="1"/>
      <c r="M42" s="1"/>
      <c r="N42" s="1"/>
      <c r="O42" s="11">
        <v>43000000</v>
      </c>
      <c r="P42" s="1"/>
      <c r="Q42" s="1" t="s">
        <v>35</v>
      </c>
      <c r="R42" s="1" t="s">
        <v>36</v>
      </c>
      <c r="S42" s="1"/>
      <c r="T42" s="1"/>
      <c r="U42" s="1"/>
      <c r="V42" s="1"/>
      <c r="W42" s="1" t="s">
        <v>60</v>
      </c>
      <c r="X42" s="1"/>
      <c r="Y42" s="1" t="s">
        <v>37</v>
      </c>
      <c r="Z42" s="1"/>
      <c r="AA42" s="12">
        <v>43211699</v>
      </c>
      <c r="AB42" s="1" t="s">
        <v>97</v>
      </c>
      <c r="AC42" s="12" t="s">
        <v>65</v>
      </c>
      <c r="AD42" s="13">
        <v>0.21</v>
      </c>
      <c r="AE42" s="14" t="s">
        <v>39</v>
      </c>
      <c r="AF42" s="15"/>
      <c r="AG42" s="1">
        <v>2402000000</v>
      </c>
      <c r="AH42" s="1" t="s">
        <v>98</v>
      </c>
      <c r="AI42" s="1" t="s">
        <v>44</v>
      </c>
      <c r="AJ42" s="1"/>
      <c r="AK42" s="1"/>
      <c r="AL42" s="1" t="str">
        <f t="shared" si="1"/>
        <v>"Investering","","","43000000","","unspsc","M","","","","","A","","A010","","43211699","2402000000","False",""</v>
      </c>
    </row>
    <row r="43" spans="1:38" x14ac:dyDescent="0.25">
      <c r="A43" s="1">
        <v>100</v>
      </c>
      <c r="B43" s="2"/>
      <c r="C43" s="1" t="s">
        <v>31</v>
      </c>
      <c r="F43" s="2">
        <v>5</v>
      </c>
      <c r="G43" s="2" t="s">
        <v>94</v>
      </c>
      <c r="J43" s="2" t="s">
        <v>33</v>
      </c>
      <c r="K43" s="2" t="s">
        <v>95</v>
      </c>
      <c r="O43" s="3">
        <v>43000000</v>
      </c>
      <c r="Q43" s="1" t="s">
        <v>35</v>
      </c>
      <c r="R43" s="1" t="s">
        <v>36</v>
      </c>
      <c r="Y43" s="1" t="s">
        <v>37</v>
      </c>
      <c r="Z43" s="2"/>
      <c r="AA43" s="4">
        <v>4323</v>
      </c>
      <c r="AB43" s="2" t="s">
        <v>99</v>
      </c>
      <c r="AC43" s="5" t="s">
        <v>65</v>
      </c>
      <c r="AD43" s="9">
        <v>0.21</v>
      </c>
      <c r="AE43" s="10" t="s">
        <v>39</v>
      </c>
      <c r="AF43" s="7"/>
      <c r="AG43" s="2"/>
      <c r="AH43" s="2"/>
      <c r="AI43" s="2" t="s">
        <v>40</v>
      </c>
      <c r="AJ43" s="2"/>
      <c r="AK43" s="2"/>
      <c r="AL43" s="1" t="str">
        <f t="shared" si="1"/>
        <v>"Maak je keuze","","","43000000","","unspsc","M","","","","","","","A010","","4323","","True",""</v>
      </c>
    </row>
    <row r="44" spans="1:38" s="2" customFormat="1" x14ac:dyDescent="0.25">
      <c r="A44" s="1">
        <v>100</v>
      </c>
      <c r="B44" s="1"/>
      <c r="C44" s="1" t="s">
        <v>31</v>
      </c>
      <c r="D44" s="1"/>
      <c r="E44" s="1"/>
      <c r="F44" s="1">
        <v>5</v>
      </c>
      <c r="G44" s="1" t="s">
        <v>94</v>
      </c>
      <c r="H44" s="8">
        <v>3</v>
      </c>
      <c r="I44" s="8"/>
      <c r="J44" s="1" t="s">
        <v>45</v>
      </c>
      <c r="K44" s="1" t="s">
        <v>95</v>
      </c>
      <c r="L44" s="1"/>
      <c r="M44" s="1"/>
      <c r="N44" s="1"/>
      <c r="O44" s="11">
        <v>43000000</v>
      </c>
      <c r="P44" s="1"/>
      <c r="Q44" s="1" t="s">
        <v>35</v>
      </c>
      <c r="R44" s="1" t="s">
        <v>36</v>
      </c>
      <c r="S44" s="1"/>
      <c r="T44" s="1"/>
      <c r="U44" s="1"/>
      <c r="V44" s="1"/>
      <c r="W44" s="1" t="s">
        <v>42</v>
      </c>
      <c r="X44" s="1"/>
      <c r="Y44" s="1" t="s">
        <v>37</v>
      </c>
      <c r="Z44" s="1"/>
      <c r="AA44" s="12">
        <v>4323</v>
      </c>
      <c r="AB44" s="1" t="s">
        <v>99</v>
      </c>
      <c r="AC44" s="12" t="s">
        <v>65</v>
      </c>
      <c r="AD44" s="13">
        <v>0.21</v>
      </c>
      <c r="AE44" s="14" t="s">
        <v>39</v>
      </c>
      <c r="AF44" s="15"/>
      <c r="AG44" s="1">
        <v>6161000200</v>
      </c>
      <c r="AH44" s="1" t="s">
        <v>45</v>
      </c>
      <c r="AI44" s="1" t="s">
        <v>44</v>
      </c>
      <c r="AJ44" s="1"/>
      <c r="AK44" s="1"/>
      <c r="AL44" s="1" t="str">
        <f t="shared" si="1"/>
        <v>"Didactisch materiaal","","","43000000","","unspsc","M","","","","","K","","A010","","4323","6161000200","False",""</v>
      </c>
    </row>
    <row r="45" spans="1:38" x14ac:dyDescent="0.25">
      <c r="A45" s="1">
        <v>100</v>
      </c>
      <c r="C45" s="1" t="s">
        <v>31</v>
      </c>
      <c r="F45" s="1">
        <v>5</v>
      </c>
      <c r="G45" s="1" t="s">
        <v>94</v>
      </c>
      <c r="H45" s="8">
        <v>9</v>
      </c>
      <c r="J45" s="1" t="s">
        <v>59</v>
      </c>
      <c r="K45" s="1" t="s">
        <v>95</v>
      </c>
      <c r="O45" s="11">
        <v>43000000</v>
      </c>
      <c r="Q45" s="1" t="s">
        <v>35</v>
      </c>
      <c r="R45" s="1" t="s">
        <v>36</v>
      </c>
      <c r="W45" s="1" t="s">
        <v>60</v>
      </c>
      <c r="Y45" s="1" t="s">
        <v>37</v>
      </c>
      <c r="AA45" s="12">
        <v>4323</v>
      </c>
      <c r="AB45" s="1" t="s">
        <v>99</v>
      </c>
      <c r="AC45" s="12" t="s">
        <v>65</v>
      </c>
      <c r="AD45" s="13">
        <v>0.21</v>
      </c>
      <c r="AE45" s="14" t="s">
        <v>39</v>
      </c>
      <c r="AF45" s="15"/>
      <c r="AG45" s="1">
        <v>2110000000</v>
      </c>
      <c r="AH45" s="1" t="s">
        <v>100</v>
      </c>
      <c r="AI45" s="1" t="s">
        <v>44</v>
      </c>
      <c r="AL45" s="1" t="str">
        <f t="shared" si="1"/>
        <v>"Investering","","","43000000","","unspsc","M","","","","","A","","A010","","4323","2110000000","False",""</v>
      </c>
    </row>
    <row r="46" spans="1:38" x14ac:dyDescent="0.25">
      <c r="A46" s="1">
        <v>100</v>
      </c>
      <c r="C46" s="1" t="s">
        <v>31</v>
      </c>
      <c r="F46" s="1">
        <v>5</v>
      </c>
      <c r="G46" s="1" t="s">
        <v>94</v>
      </c>
      <c r="H46" s="8">
        <v>17</v>
      </c>
      <c r="J46" s="1" t="s">
        <v>41</v>
      </c>
      <c r="K46" s="1" t="s">
        <v>95</v>
      </c>
      <c r="O46" s="11">
        <v>43000000</v>
      </c>
      <c r="Q46" s="1" t="s">
        <v>35</v>
      </c>
      <c r="R46" s="1" t="s">
        <v>36</v>
      </c>
      <c r="W46" s="1" t="s">
        <v>42</v>
      </c>
      <c r="Y46" s="1" t="s">
        <v>37</v>
      </c>
      <c r="AA46" s="12">
        <v>4323</v>
      </c>
      <c r="AB46" s="1" t="s">
        <v>101</v>
      </c>
      <c r="AC46" s="12" t="s">
        <v>65</v>
      </c>
      <c r="AD46" s="13">
        <v>0.21</v>
      </c>
      <c r="AE46" s="14" t="s">
        <v>39</v>
      </c>
      <c r="AF46" s="15"/>
      <c r="AG46" s="1">
        <v>6146000900</v>
      </c>
      <c r="AH46" s="1" t="s">
        <v>56</v>
      </c>
      <c r="AI46" s="1" t="s">
        <v>44</v>
      </c>
      <c r="AL46" s="1" t="str">
        <f t="shared" si="1"/>
        <v>"Operationele werking","","","43000000","","unspsc","M","","","","","K","","A010","","4323","6146000900","False",""</v>
      </c>
    </row>
    <row r="47" spans="1:38" s="2" customFormat="1" x14ac:dyDescent="0.25">
      <c r="A47" s="1">
        <v>100</v>
      </c>
      <c r="C47" s="1" t="s">
        <v>31</v>
      </c>
      <c r="D47" s="1"/>
      <c r="E47" s="1"/>
      <c r="F47" s="2">
        <v>5</v>
      </c>
      <c r="G47" s="2" t="s">
        <v>94</v>
      </c>
      <c r="H47" s="8"/>
      <c r="I47" s="8"/>
      <c r="J47" s="2" t="s">
        <v>33</v>
      </c>
      <c r="K47" s="2" t="s">
        <v>95</v>
      </c>
      <c r="L47" s="1"/>
      <c r="M47" s="1"/>
      <c r="N47" s="1"/>
      <c r="O47" s="3">
        <v>43000000</v>
      </c>
      <c r="P47" s="1"/>
      <c r="Q47" s="1" t="s">
        <v>35</v>
      </c>
      <c r="R47" s="1" t="s">
        <v>36</v>
      </c>
      <c r="S47" s="1"/>
      <c r="T47" s="1"/>
      <c r="U47" s="1"/>
      <c r="V47" s="1"/>
      <c r="W47" s="1"/>
      <c r="X47" s="1"/>
      <c r="Y47" s="1" t="s">
        <v>37</v>
      </c>
      <c r="AA47" s="4" t="s">
        <v>102</v>
      </c>
      <c r="AB47" s="2" t="s">
        <v>103</v>
      </c>
      <c r="AC47" s="5" t="s">
        <v>104</v>
      </c>
      <c r="AD47" s="9">
        <v>0.21</v>
      </c>
      <c r="AE47" s="10" t="s">
        <v>39</v>
      </c>
      <c r="AF47" s="7"/>
      <c r="AI47" s="2" t="s">
        <v>40</v>
      </c>
      <c r="AL47" s="1" t="str">
        <f t="shared" si="1"/>
        <v>"Maak je keuze","","","43000000","","unspsc","M","","","","","","","A010","","4323X","","True",""</v>
      </c>
    </row>
    <row r="48" spans="1:38" x14ac:dyDescent="0.25">
      <c r="A48" s="1">
        <v>100</v>
      </c>
      <c r="C48" s="1" t="s">
        <v>31</v>
      </c>
      <c r="F48" s="1">
        <v>5</v>
      </c>
      <c r="G48" s="1" t="s">
        <v>94</v>
      </c>
      <c r="H48" s="8">
        <v>3</v>
      </c>
      <c r="J48" s="1" t="s">
        <v>45</v>
      </c>
      <c r="K48" s="1" t="s">
        <v>95</v>
      </c>
      <c r="O48" s="11">
        <v>43000000</v>
      </c>
      <c r="Q48" s="1" t="s">
        <v>35</v>
      </c>
      <c r="R48" s="1" t="s">
        <v>36</v>
      </c>
      <c r="W48" s="1" t="s">
        <v>42</v>
      </c>
      <c r="Y48" s="1" t="s">
        <v>37</v>
      </c>
      <c r="AA48" s="12" t="s">
        <v>102</v>
      </c>
      <c r="AB48" s="1" t="s">
        <v>103</v>
      </c>
      <c r="AC48" s="12" t="s">
        <v>104</v>
      </c>
      <c r="AD48" s="13">
        <v>0.21</v>
      </c>
      <c r="AE48" s="14" t="s">
        <v>39</v>
      </c>
      <c r="AF48" s="15"/>
      <c r="AG48" s="1">
        <v>6161000200</v>
      </c>
      <c r="AH48" s="1" t="s">
        <v>45</v>
      </c>
      <c r="AI48" s="1" t="s">
        <v>44</v>
      </c>
      <c r="AL48" s="1" t="str">
        <f t="shared" si="1"/>
        <v>"Didactisch materiaal","","","43000000","","unspsc","M","","","","","K","","A010","","4323X","6161000200","False",""</v>
      </c>
    </row>
    <row r="49" spans="1:38" x14ac:dyDescent="0.25">
      <c r="A49" s="1">
        <v>100</v>
      </c>
      <c r="C49" s="1" t="s">
        <v>31</v>
      </c>
      <c r="F49" s="1">
        <v>5</v>
      </c>
      <c r="G49" s="1" t="s">
        <v>94</v>
      </c>
      <c r="H49" s="8">
        <v>9</v>
      </c>
      <c r="J49" s="1" t="s">
        <v>59</v>
      </c>
      <c r="K49" s="1" t="s">
        <v>95</v>
      </c>
      <c r="O49" s="11">
        <v>43000000</v>
      </c>
      <c r="Q49" s="1" t="s">
        <v>35</v>
      </c>
      <c r="R49" s="1" t="s">
        <v>36</v>
      </c>
      <c r="W49" s="1" t="s">
        <v>60</v>
      </c>
      <c r="Y49" s="1" t="s">
        <v>37</v>
      </c>
      <c r="AA49" s="12" t="s">
        <v>102</v>
      </c>
      <c r="AB49" s="1" t="s">
        <v>103</v>
      </c>
      <c r="AC49" s="12" t="s">
        <v>104</v>
      </c>
      <c r="AD49" s="13">
        <v>0.21</v>
      </c>
      <c r="AE49" s="14" t="s">
        <v>39</v>
      </c>
      <c r="AF49" s="15"/>
      <c r="AG49" s="1">
        <v>2110000000</v>
      </c>
      <c r="AH49" s="1" t="s">
        <v>100</v>
      </c>
      <c r="AI49" s="1" t="s">
        <v>44</v>
      </c>
      <c r="AL49" s="1" t="str">
        <f t="shared" si="1"/>
        <v>"Investering","","","43000000","","unspsc","M","","","","","A","","A010","","4323X","2110000000","False",""</v>
      </c>
    </row>
    <row r="50" spans="1:38" x14ac:dyDescent="0.25">
      <c r="A50" s="1">
        <v>100</v>
      </c>
      <c r="B50" s="2"/>
      <c r="C50" s="1" t="s">
        <v>31</v>
      </c>
      <c r="F50" s="2">
        <v>2</v>
      </c>
      <c r="G50" s="2" t="s">
        <v>105</v>
      </c>
      <c r="J50" s="2" t="s">
        <v>33</v>
      </c>
      <c r="K50" s="2" t="s">
        <v>106</v>
      </c>
      <c r="O50" s="3">
        <v>44000000</v>
      </c>
      <c r="Q50" s="1" t="s">
        <v>35</v>
      </c>
      <c r="R50" s="1" t="s">
        <v>36</v>
      </c>
      <c r="Y50" s="1" t="s">
        <v>37</v>
      </c>
      <c r="Z50" s="2"/>
      <c r="AA50" s="4">
        <v>4411</v>
      </c>
      <c r="AB50" s="2" t="s">
        <v>107</v>
      </c>
      <c r="AC50" s="5" t="s">
        <v>65</v>
      </c>
      <c r="AD50" s="9">
        <v>0.21</v>
      </c>
      <c r="AE50" s="10" t="s">
        <v>39</v>
      </c>
      <c r="AF50" s="7"/>
      <c r="AG50" s="2"/>
      <c r="AH50" s="2"/>
      <c r="AI50" s="2" t="s">
        <v>40</v>
      </c>
      <c r="AJ50" s="2"/>
      <c r="AK50" s="2"/>
      <c r="AL50" s="1" t="str">
        <f t="shared" si="1"/>
        <v>"Maak je keuze","","","44000000","","unspsc","M","","","","","","","A010","","4411","","True",""</v>
      </c>
    </row>
    <row r="51" spans="1:38" s="2" customFormat="1" x14ac:dyDescent="0.25">
      <c r="A51" s="1">
        <v>100</v>
      </c>
      <c r="B51" s="1"/>
      <c r="C51" s="1" t="s">
        <v>31</v>
      </c>
      <c r="D51" s="1"/>
      <c r="E51" s="1"/>
      <c r="F51" s="1">
        <v>2</v>
      </c>
      <c r="G51" s="1" t="s">
        <v>105</v>
      </c>
      <c r="H51" s="8">
        <v>17</v>
      </c>
      <c r="I51" s="8"/>
      <c r="J51" s="1" t="s">
        <v>41</v>
      </c>
      <c r="K51" s="1" t="s">
        <v>106</v>
      </c>
      <c r="L51" s="1"/>
      <c r="M51" s="1"/>
      <c r="N51" s="1"/>
      <c r="O51" s="11">
        <v>44000000</v>
      </c>
      <c r="P51" s="1"/>
      <c r="Q51" s="1" t="s">
        <v>35</v>
      </c>
      <c r="R51" s="1" t="s">
        <v>36</v>
      </c>
      <c r="S51" s="1"/>
      <c r="T51" s="1"/>
      <c r="U51" s="1"/>
      <c r="V51" s="1"/>
      <c r="W51" s="1" t="s">
        <v>42</v>
      </c>
      <c r="X51" s="1"/>
      <c r="Y51" s="1" t="s">
        <v>37</v>
      </c>
      <c r="Z51" s="1"/>
      <c r="AA51" s="12">
        <v>4411</v>
      </c>
      <c r="AB51" s="1" t="s">
        <v>107</v>
      </c>
      <c r="AC51" s="12" t="s">
        <v>65</v>
      </c>
      <c r="AD51" s="13">
        <v>0.21</v>
      </c>
      <c r="AE51" s="14" t="s">
        <v>39</v>
      </c>
      <c r="AF51" s="15"/>
      <c r="AG51" s="1">
        <v>6146000900</v>
      </c>
      <c r="AH51" s="1" t="s">
        <v>56</v>
      </c>
      <c r="AI51" s="1" t="s">
        <v>44</v>
      </c>
      <c r="AJ51" s="1"/>
      <c r="AK51" s="1"/>
      <c r="AL51" s="1" t="str">
        <f t="shared" si="1"/>
        <v>"Operationele werking","","","44000000","","unspsc","M","","","","","K","","A010","","4411","6146000900","False",""</v>
      </c>
    </row>
    <row r="52" spans="1:38" x14ac:dyDescent="0.25">
      <c r="A52" s="1">
        <v>100</v>
      </c>
      <c r="C52" s="1" t="s">
        <v>31</v>
      </c>
      <c r="F52" s="1">
        <v>2</v>
      </c>
      <c r="G52" s="1" t="s">
        <v>105</v>
      </c>
      <c r="H52" s="8">
        <v>3</v>
      </c>
      <c r="J52" s="1" t="s">
        <v>45</v>
      </c>
      <c r="K52" s="1" t="s">
        <v>106</v>
      </c>
      <c r="O52" s="11">
        <v>44000000</v>
      </c>
      <c r="Q52" s="1" t="s">
        <v>35</v>
      </c>
      <c r="R52" s="1" t="s">
        <v>36</v>
      </c>
      <c r="W52" s="1" t="s">
        <v>42</v>
      </c>
      <c r="Y52" s="1" t="s">
        <v>37</v>
      </c>
      <c r="AA52" s="12">
        <v>4411</v>
      </c>
      <c r="AB52" s="1" t="s">
        <v>107</v>
      </c>
      <c r="AC52" s="12" t="s">
        <v>65</v>
      </c>
      <c r="AD52" s="13">
        <v>0.21</v>
      </c>
      <c r="AE52" s="14" t="s">
        <v>39</v>
      </c>
      <c r="AF52" s="15"/>
      <c r="AG52" s="1">
        <v>6161000200</v>
      </c>
      <c r="AH52" s="1" t="s">
        <v>45</v>
      </c>
      <c r="AI52" s="1" t="s">
        <v>44</v>
      </c>
      <c r="AL52" s="1" t="str">
        <f t="shared" si="1"/>
        <v>"Didactisch materiaal","","","44000000","","unspsc","M","","","","","K","","A010","","4411","6161000200","False",""</v>
      </c>
    </row>
    <row r="53" spans="1:38" x14ac:dyDescent="0.25">
      <c r="A53" s="1">
        <v>100</v>
      </c>
      <c r="C53" s="1" t="s">
        <v>31</v>
      </c>
      <c r="F53" s="1">
        <v>2</v>
      </c>
      <c r="G53" s="1" t="s">
        <v>105</v>
      </c>
      <c r="H53" s="8">
        <v>6</v>
      </c>
      <c r="J53" s="1" t="s">
        <v>108</v>
      </c>
      <c r="K53" s="1" t="s">
        <v>106</v>
      </c>
      <c r="O53" s="11">
        <v>44000000</v>
      </c>
      <c r="Q53" s="1" t="s">
        <v>35</v>
      </c>
      <c r="R53" s="1" t="s">
        <v>36</v>
      </c>
      <c r="W53" s="1" t="s">
        <v>42</v>
      </c>
      <c r="Y53" s="1" t="s">
        <v>37</v>
      </c>
      <c r="AA53" s="12">
        <v>4411</v>
      </c>
      <c r="AB53" s="1" t="s">
        <v>107</v>
      </c>
      <c r="AC53" s="12" t="s">
        <v>65</v>
      </c>
      <c r="AD53" s="13">
        <v>0.21</v>
      </c>
      <c r="AE53" s="14" t="s">
        <v>39</v>
      </c>
      <c r="AF53" s="15"/>
      <c r="AG53" s="1">
        <v>6030000200</v>
      </c>
      <c r="AH53" s="1" t="s">
        <v>109</v>
      </c>
      <c r="AI53" s="1" t="s">
        <v>44</v>
      </c>
      <c r="AL53" s="1" t="str">
        <f t="shared" si="1"/>
        <v>"Doorverkoop onderwijs (niet max fac)","","","44000000","","unspsc","M","","","","","K","","A010","","4411","6030000200","False",""</v>
      </c>
    </row>
    <row r="54" spans="1:38" s="2" customFormat="1" x14ac:dyDescent="0.25">
      <c r="A54" s="1">
        <v>100</v>
      </c>
      <c r="C54" s="1" t="s">
        <v>31</v>
      </c>
      <c r="D54" s="1"/>
      <c r="E54" s="1"/>
      <c r="F54" s="2">
        <v>2</v>
      </c>
      <c r="G54" s="2" t="s">
        <v>105</v>
      </c>
      <c r="H54" s="8"/>
      <c r="I54" s="8"/>
      <c r="J54" s="2" t="s">
        <v>33</v>
      </c>
      <c r="K54" s="2" t="s">
        <v>106</v>
      </c>
      <c r="L54" s="1"/>
      <c r="M54" s="1"/>
      <c r="N54" s="1"/>
      <c r="O54" s="3">
        <v>44000000</v>
      </c>
      <c r="P54" s="1"/>
      <c r="Q54" s="1" t="s">
        <v>35</v>
      </c>
      <c r="R54" s="1" t="s">
        <v>36</v>
      </c>
      <c r="S54" s="1"/>
      <c r="T54" s="1"/>
      <c r="U54" s="1"/>
      <c r="V54" s="1"/>
      <c r="W54" s="1"/>
      <c r="X54" s="1"/>
      <c r="Y54" s="1" t="s">
        <v>37</v>
      </c>
      <c r="AA54" s="4" t="s">
        <v>110</v>
      </c>
      <c r="AB54" s="2" t="s">
        <v>111</v>
      </c>
      <c r="AC54" s="5" t="s">
        <v>104</v>
      </c>
      <c r="AD54" s="9">
        <v>0.21</v>
      </c>
      <c r="AE54" s="10" t="s">
        <v>39</v>
      </c>
      <c r="AF54" s="7"/>
      <c r="AI54" s="2" t="s">
        <v>40</v>
      </c>
      <c r="AL54" s="1" t="str">
        <f t="shared" si="1"/>
        <v>"Maak je keuze","","","44000000","","unspsc","M","","","","","","","A010","","4411X","","True",""</v>
      </c>
    </row>
    <row r="55" spans="1:38" x14ac:dyDescent="0.25">
      <c r="A55" s="1">
        <v>100</v>
      </c>
      <c r="C55" s="1" t="s">
        <v>31</v>
      </c>
      <c r="F55" s="1">
        <v>2</v>
      </c>
      <c r="G55" s="1" t="s">
        <v>105</v>
      </c>
      <c r="H55" s="8">
        <v>17</v>
      </c>
      <c r="J55" s="1" t="s">
        <v>41</v>
      </c>
      <c r="K55" s="1" t="s">
        <v>106</v>
      </c>
      <c r="O55" s="11">
        <v>44000000</v>
      </c>
      <c r="Q55" s="1" t="s">
        <v>35</v>
      </c>
      <c r="R55" s="1" t="s">
        <v>36</v>
      </c>
      <c r="W55" s="1" t="s">
        <v>42</v>
      </c>
      <c r="Y55" s="1" t="s">
        <v>37</v>
      </c>
      <c r="AA55" s="12" t="s">
        <v>110</v>
      </c>
      <c r="AB55" s="1" t="s">
        <v>111</v>
      </c>
      <c r="AC55" s="12" t="s">
        <v>104</v>
      </c>
      <c r="AD55" s="13">
        <v>0.21</v>
      </c>
      <c r="AE55" s="14" t="s">
        <v>39</v>
      </c>
      <c r="AF55" s="15"/>
      <c r="AG55" s="1">
        <v>6146000900</v>
      </c>
      <c r="AH55" s="1" t="s">
        <v>56</v>
      </c>
      <c r="AI55" s="1" t="s">
        <v>44</v>
      </c>
      <c r="AL55" s="1" t="str">
        <f t="shared" si="1"/>
        <v>"Operationele werking","","","44000000","","unspsc","M","","","","","K","","A010","","4411X","6146000900","False",""</v>
      </c>
    </row>
    <row r="56" spans="1:38" x14ac:dyDescent="0.25">
      <c r="A56" s="1">
        <v>100</v>
      </c>
      <c r="C56" s="1" t="s">
        <v>31</v>
      </c>
      <c r="F56" s="1">
        <v>2</v>
      </c>
      <c r="G56" s="1" t="s">
        <v>105</v>
      </c>
      <c r="H56" s="8">
        <v>3</v>
      </c>
      <c r="J56" s="1" t="s">
        <v>45</v>
      </c>
      <c r="K56" s="1" t="s">
        <v>106</v>
      </c>
      <c r="O56" s="11">
        <v>44000000</v>
      </c>
      <c r="Q56" s="1" t="s">
        <v>35</v>
      </c>
      <c r="R56" s="1" t="s">
        <v>36</v>
      </c>
      <c r="W56" s="1" t="s">
        <v>42</v>
      </c>
      <c r="Y56" s="1" t="s">
        <v>37</v>
      </c>
      <c r="AA56" s="12" t="s">
        <v>110</v>
      </c>
      <c r="AB56" s="1" t="s">
        <v>111</v>
      </c>
      <c r="AC56" s="12" t="s">
        <v>104</v>
      </c>
      <c r="AD56" s="13">
        <v>0.21</v>
      </c>
      <c r="AE56" s="14" t="s">
        <v>39</v>
      </c>
      <c r="AF56" s="15"/>
      <c r="AG56" s="1">
        <v>6161000200</v>
      </c>
      <c r="AH56" s="1" t="s">
        <v>45</v>
      </c>
      <c r="AI56" s="1" t="s">
        <v>44</v>
      </c>
      <c r="AL56" s="1" t="str">
        <f t="shared" si="1"/>
        <v>"Didactisch materiaal","","","44000000","","unspsc","M","","","","","K","","A010","","4411X","6161000200","False",""</v>
      </c>
    </row>
    <row r="57" spans="1:38" x14ac:dyDescent="0.25">
      <c r="A57" s="1">
        <v>100</v>
      </c>
      <c r="C57" s="1" t="s">
        <v>31</v>
      </c>
      <c r="F57" s="1">
        <v>2</v>
      </c>
      <c r="G57" s="1" t="s">
        <v>105</v>
      </c>
      <c r="H57" s="8">
        <v>6</v>
      </c>
      <c r="J57" s="1" t="s">
        <v>108</v>
      </c>
      <c r="K57" s="1" t="s">
        <v>106</v>
      </c>
      <c r="O57" s="11">
        <v>44000000</v>
      </c>
      <c r="Q57" s="1" t="s">
        <v>35</v>
      </c>
      <c r="R57" s="1" t="s">
        <v>36</v>
      </c>
      <c r="W57" s="1" t="s">
        <v>42</v>
      </c>
      <c r="Y57" s="1" t="s">
        <v>37</v>
      </c>
      <c r="AA57" s="12" t="s">
        <v>110</v>
      </c>
      <c r="AB57" s="1" t="s">
        <v>111</v>
      </c>
      <c r="AC57" s="12" t="s">
        <v>104</v>
      </c>
      <c r="AD57" s="13">
        <v>0.21</v>
      </c>
      <c r="AE57" s="14" t="s">
        <v>39</v>
      </c>
      <c r="AF57" s="15"/>
      <c r="AG57" s="1">
        <v>6030000200</v>
      </c>
      <c r="AH57" s="1" t="s">
        <v>109</v>
      </c>
      <c r="AI57" s="1" t="s">
        <v>44</v>
      </c>
      <c r="AL57" s="1" t="str">
        <f t="shared" si="1"/>
        <v>"Doorverkoop onderwijs (niet max fac)","","","44000000","","unspsc","M","","","","","K","","A010","","4411X","6030000200","False",""</v>
      </c>
    </row>
    <row r="58" spans="1:38" s="2" customFormat="1" x14ac:dyDescent="0.25">
      <c r="A58" s="1">
        <v>100</v>
      </c>
      <c r="C58" s="1" t="s">
        <v>31</v>
      </c>
      <c r="D58" s="1"/>
      <c r="E58" s="1"/>
      <c r="F58" s="2">
        <v>5</v>
      </c>
      <c r="G58" s="2" t="s">
        <v>94</v>
      </c>
      <c r="H58" s="8"/>
      <c r="I58" s="8"/>
      <c r="J58" s="2" t="s">
        <v>33</v>
      </c>
      <c r="K58" s="2" t="s">
        <v>112</v>
      </c>
      <c r="L58" s="1"/>
      <c r="M58" s="1"/>
      <c r="N58" s="1"/>
      <c r="O58" s="3">
        <v>44000000</v>
      </c>
      <c r="P58" s="1"/>
      <c r="Q58" s="1" t="s">
        <v>35</v>
      </c>
      <c r="R58" s="1" t="s">
        <v>36</v>
      </c>
      <c r="S58" s="1"/>
      <c r="T58" s="1"/>
      <c r="U58" s="1"/>
      <c r="V58" s="1"/>
      <c r="W58" s="1"/>
      <c r="X58" s="1"/>
      <c r="Y58" s="1" t="s">
        <v>37</v>
      </c>
      <c r="AA58" s="4">
        <v>441017</v>
      </c>
      <c r="AB58" s="2" t="s">
        <v>112</v>
      </c>
      <c r="AC58" s="5" t="s">
        <v>65</v>
      </c>
      <c r="AD58" s="9">
        <v>0.21</v>
      </c>
      <c r="AE58" s="10" t="s">
        <v>39</v>
      </c>
      <c r="AF58" s="7"/>
      <c r="AI58" s="2" t="s">
        <v>40</v>
      </c>
      <c r="AL58" s="1" t="str">
        <f t="shared" si="1"/>
        <v>"Maak je keuze","","","44000000","","unspsc","M","","","","","","","A010","","441017","","True",""</v>
      </c>
    </row>
    <row r="59" spans="1:38" x14ac:dyDescent="0.25">
      <c r="A59" s="1">
        <v>100</v>
      </c>
      <c r="C59" s="1" t="s">
        <v>31</v>
      </c>
      <c r="F59" s="1">
        <v>5</v>
      </c>
      <c r="G59" s="1" t="s">
        <v>94</v>
      </c>
      <c r="H59" s="8">
        <v>17</v>
      </c>
      <c r="J59" s="1" t="s">
        <v>41</v>
      </c>
      <c r="K59" s="1" t="s">
        <v>112</v>
      </c>
      <c r="O59" s="11">
        <v>44000000</v>
      </c>
      <c r="Q59" s="1" t="s">
        <v>35</v>
      </c>
      <c r="R59" s="1" t="s">
        <v>36</v>
      </c>
      <c r="W59" s="1" t="s">
        <v>42</v>
      </c>
      <c r="Y59" s="1" t="s">
        <v>37</v>
      </c>
      <c r="AA59" s="12">
        <v>441017</v>
      </c>
      <c r="AB59" s="1" t="s">
        <v>112</v>
      </c>
      <c r="AC59" s="12" t="s">
        <v>65</v>
      </c>
      <c r="AD59" s="13">
        <v>0.21</v>
      </c>
      <c r="AE59" s="14" t="s">
        <v>39</v>
      </c>
      <c r="AF59" s="15"/>
      <c r="AG59" s="1">
        <v>6146000900</v>
      </c>
      <c r="AH59" s="1" t="s">
        <v>56</v>
      </c>
      <c r="AI59" s="1" t="s">
        <v>44</v>
      </c>
      <c r="AL59" s="1" t="str">
        <f t="shared" si="1"/>
        <v>"Operationele werking","","","44000000","","unspsc","M","","","","","K","","A010","","441017","6146000900","False",""</v>
      </c>
    </row>
    <row r="60" spans="1:38" x14ac:dyDescent="0.25">
      <c r="A60" s="1">
        <v>100</v>
      </c>
      <c r="C60" s="1" t="s">
        <v>31</v>
      </c>
      <c r="F60" s="1">
        <v>5</v>
      </c>
      <c r="G60" s="1" t="s">
        <v>94</v>
      </c>
      <c r="H60" s="8">
        <v>9</v>
      </c>
      <c r="J60" s="1" t="s">
        <v>59</v>
      </c>
      <c r="K60" s="1" t="s">
        <v>112</v>
      </c>
      <c r="O60" s="11">
        <v>44000000</v>
      </c>
      <c r="Q60" s="1" t="s">
        <v>35</v>
      </c>
      <c r="R60" s="1" t="s">
        <v>36</v>
      </c>
      <c r="W60" s="1" t="s">
        <v>60</v>
      </c>
      <c r="Y60" s="1" t="s">
        <v>37</v>
      </c>
      <c r="AA60" s="12">
        <v>441017</v>
      </c>
      <c r="AB60" s="1" t="s">
        <v>112</v>
      </c>
      <c r="AC60" s="12" t="s">
        <v>65</v>
      </c>
      <c r="AD60" s="13">
        <v>0.21</v>
      </c>
      <c r="AE60" s="14" t="s">
        <v>39</v>
      </c>
      <c r="AF60" s="15"/>
      <c r="AG60" s="1">
        <v>2301000000</v>
      </c>
      <c r="AH60" s="1" t="s">
        <v>76</v>
      </c>
      <c r="AI60" s="1" t="s">
        <v>44</v>
      </c>
      <c r="AL60" s="1" t="str">
        <f t="shared" si="1"/>
        <v>"Investering","","","44000000","","unspsc","M","","","","","A","","A010","","441017","2301000000","False",""</v>
      </c>
    </row>
    <row r="61" spans="1:38" s="2" customFormat="1" x14ac:dyDescent="0.25">
      <c r="A61" s="1">
        <v>100</v>
      </c>
      <c r="C61" s="1" t="s">
        <v>31</v>
      </c>
      <c r="D61" s="1"/>
      <c r="E61" s="1"/>
      <c r="F61" s="2">
        <v>5</v>
      </c>
      <c r="G61" s="2" t="s">
        <v>94</v>
      </c>
      <c r="H61" s="8"/>
      <c r="I61" s="8"/>
      <c r="J61" s="2" t="s">
        <v>33</v>
      </c>
      <c r="K61" s="2" t="s">
        <v>112</v>
      </c>
      <c r="L61" s="1"/>
      <c r="M61" s="1"/>
      <c r="N61" s="1"/>
      <c r="O61" s="3">
        <v>44000000</v>
      </c>
      <c r="P61" s="1"/>
      <c r="Q61" s="1" t="s">
        <v>35</v>
      </c>
      <c r="R61" s="1" t="s">
        <v>36</v>
      </c>
      <c r="S61" s="1"/>
      <c r="T61" s="1"/>
      <c r="U61" s="1"/>
      <c r="V61" s="1"/>
      <c r="W61" s="1"/>
      <c r="X61" s="1"/>
      <c r="Y61" s="1" t="s">
        <v>37</v>
      </c>
      <c r="AA61" s="4" t="s">
        <v>113</v>
      </c>
      <c r="AB61" s="2" t="s">
        <v>114</v>
      </c>
      <c r="AC61" s="5" t="s">
        <v>104</v>
      </c>
      <c r="AD61" s="9">
        <v>0.21</v>
      </c>
      <c r="AE61" s="10" t="s">
        <v>39</v>
      </c>
      <c r="AF61" s="7"/>
      <c r="AI61" s="2" t="s">
        <v>40</v>
      </c>
      <c r="AL61" s="1" t="str">
        <f t="shared" si="1"/>
        <v>"Maak je keuze","","","44000000","","unspsc","M","","","","","","","A010","","441017X","","True",""</v>
      </c>
    </row>
    <row r="62" spans="1:38" x14ac:dyDescent="0.25">
      <c r="A62" s="1">
        <v>100</v>
      </c>
      <c r="C62" s="1" t="s">
        <v>31</v>
      </c>
      <c r="F62" s="1">
        <v>5</v>
      </c>
      <c r="G62" s="1" t="s">
        <v>94</v>
      </c>
      <c r="H62" s="8">
        <v>17</v>
      </c>
      <c r="J62" s="1" t="s">
        <v>41</v>
      </c>
      <c r="K62" s="1" t="s">
        <v>112</v>
      </c>
      <c r="O62" s="11">
        <v>44000000</v>
      </c>
      <c r="Q62" s="1" t="s">
        <v>35</v>
      </c>
      <c r="R62" s="1" t="s">
        <v>36</v>
      </c>
      <c r="W62" s="1" t="s">
        <v>42</v>
      </c>
      <c r="Y62" s="1" t="s">
        <v>37</v>
      </c>
      <c r="AA62" s="12" t="s">
        <v>113</v>
      </c>
      <c r="AB62" s="1" t="s">
        <v>114</v>
      </c>
      <c r="AC62" s="12" t="s">
        <v>104</v>
      </c>
      <c r="AD62" s="13">
        <v>0.21</v>
      </c>
      <c r="AE62" s="14" t="s">
        <v>39</v>
      </c>
      <c r="AF62" s="15"/>
      <c r="AG62" s="1">
        <v>6146000900</v>
      </c>
      <c r="AH62" s="1" t="s">
        <v>56</v>
      </c>
      <c r="AI62" s="1" t="s">
        <v>44</v>
      </c>
      <c r="AL62" s="1" t="str">
        <f t="shared" si="1"/>
        <v>"Operationele werking","","","44000000","","unspsc","M","","","","","K","","A010","","441017X","6146000900","False",""</v>
      </c>
    </row>
    <row r="63" spans="1:38" x14ac:dyDescent="0.25">
      <c r="A63" s="1">
        <v>100</v>
      </c>
      <c r="C63" s="1" t="s">
        <v>31</v>
      </c>
      <c r="F63" s="1">
        <v>5</v>
      </c>
      <c r="G63" s="1" t="s">
        <v>94</v>
      </c>
      <c r="H63" s="8">
        <v>9</v>
      </c>
      <c r="J63" s="1" t="s">
        <v>59</v>
      </c>
      <c r="K63" s="1" t="s">
        <v>112</v>
      </c>
      <c r="O63" s="11">
        <v>44000000</v>
      </c>
      <c r="Q63" s="1" t="s">
        <v>35</v>
      </c>
      <c r="R63" s="1" t="s">
        <v>36</v>
      </c>
      <c r="W63" s="1" t="s">
        <v>60</v>
      </c>
      <c r="Y63" s="1" t="s">
        <v>37</v>
      </c>
      <c r="AA63" s="12" t="s">
        <v>113</v>
      </c>
      <c r="AB63" s="1" t="s">
        <v>114</v>
      </c>
      <c r="AC63" s="12" t="s">
        <v>104</v>
      </c>
      <c r="AD63" s="13">
        <v>0.21</v>
      </c>
      <c r="AE63" s="14" t="s">
        <v>39</v>
      </c>
      <c r="AF63" s="15"/>
      <c r="AG63" s="1">
        <v>2301000000</v>
      </c>
      <c r="AH63" s="1" t="s">
        <v>76</v>
      </c>
      <c r="AI63" s="1" t="s">
        <v>44</v>
      </c>
      <c r="AL63" s="1" t="str">
        <f t="shared" si="1"/>
        <v>"Investering","","","44000000","","unspsc","M","","","","","A","","A010","","441017X","2301000000","False",""</v>
      </c>
    </row>
    <row r="64" spans="1:38" x14ac:dyDescent="0.25">
      <c r="A64" s="1">
        <v>100</v>
      </c>
      <c r="B64" s="2"/>
      <c r="C64" s="1" t="s">
        <v>31</v>
      </c>
      <c r="F64" s="2">
        <v>8</v>
      </c>
      <c r="G64" s="2" t="s">
        <v>115</v>
      </c>
      <c r="J64" s="2" t="s">
        <v>33</v>
      </c>
      <c r="K64" s="2" t="s">
        <v>116</v>
      </c>
      <c r="O64" s="3">
        <v>46000000</v>
      </c>
      <c r="Q64" s="1" t="s">
        <v>35</v>
      </c>
      <c r="R64" s="1" t="s">
        <v>36</v>
      </c>
      <c r="Y64" s="1" t="s">
        <v>37</v>
      </c>
      <c r="Z64" s="2"/>
      <c r="AA64" s="4">
        <v>4618</v>
      </c>
      <c r="AB64" s="2" t="s">
        <v>117</v>
      </c>
      <c r="AC64" s="5" t="s">
        <v>65</v>
      </c>
      <c r="AD64" s="9">
        <v>0.21</v>
      </c>
      <c r="AE64" s="10" t="s">
        <v>39</v>
      </c>
      <c r="AF64" s="7"/>
      <c r="AG64" s="2"/>
      <c r="AH64" s="2"/>
      <c r="AI64" s="2" t="s">
        <v>40</v>
      </c>
      <c r="AJ64" s="2"/>
      <c r="AK64" s="2"/>
      <c r="AL64" s="1" t="str">
        <f t="shared" si="1"/>
        <v>"Maak je keuze","","","46000000","","unspsc","M","","","","","","","A010","","4618","","True",""</v>
      </c>
    </row>
    <row r="65" spans="1:38" s="2" customFormat="1" x14ac:dyDescent="0.25">
      <c r="A65" s="1">
        <v>100</v>
      </c>
      <c r="B65" s="1"/>
      <c r="C65" s="1" t="s">
        <v>31</v>
      </c>
      <c r="D65" s="1"/>
      <c r="E65" s="1"/>
      <c r="F65" s="1">
        <v>8</v>
      </c>
      <c r="G65" s="1" t="s">
        <v>115</v>
      </c>
      <c r="H65" s="8">
        <v>17</v>
      </c>
      <c r="I65" s="8"/>
      <c r="J65" s="1" t="s">
        <v>41</v>
      </c>
      <c r="K65" s="1" t="s">
        <v>116</v>
      </c>
      <c r="L65" s="1"/>
      <c r="M65" s="1"/>
      <c r="N65" s="1"/>
      <c r="O65" s="11">
        <v>46000000</v>
      </c>
      <c r="P65" s="1"/>
      <c r="Q65" s="1" t="s">
        <v>35</v>
      </c>
      <c r="R65" s="1" t="s">
        <v>36</v>
      </c>
      <c r="S65" s="1"/>
      <c r="T65" s="1"/>
      <c r="U65" s="1"/>
      <c r="V65" s="1"/>
      <c r="W65" s="1" t="s">
        <v>42</v>
      </c>
      <c r="X65" s="1"/>
      <c r="Y65" s="1" t="s">
        <v>37</v>
      </c>
      <c r="Z65" s="1"/>
      <c r="AA65" s="12">
        <v>4618</v>
      </c>
      <c r="AB65" s="1" t="s">
        <v>117</v>
      </c>
      <c r="AC65" s="12" t="s">
        <v>65</v>
      </c>
      <c r="AD65" s="13">
        <v>0.21</v>
      </c>
      <c r="AE65" s="14" t="s">
        <v>39</v>
      </c>
      <c r="AF65" s="15"/>
      <c r="AG65" s="1">
        <v>6152000600</v>
      </c>
      <c r="AH65" s="1" t="s">
        <v>118</v>
      </c>
      <c r="AI65" s="1" t="s">
        <v>44</v>
      </c>
      <c r="AJ65" s="1"/>
      <c r="AK65" s="1"/>
      <c r="AL65" s="1" t="str">
        <f t="shared" si="1"/>
        <v>"Operationele werking","","","46000000","","unspsc","M","","","","","K","","A010","","4618","6152000600","False",""</v>
      </c>
    </row>
    <row r="66" spans="1:38" x14ac:dyDescent="0.25">
      <c r="A66" s="1">
        <v>100</v>
      </c>
      <c r="C66" s="1" t="s">
        <v>31</v>
      </c>
      <c r="F66" s="1">
        <v>8</v>
      </c>
      <c r="G66" s="1" t="s">
        <v>115</v>
      </c>
      <c r="H66" s="8">
        <v>6</v>
      </c>
      <c r="J66" s="1" t="s">
        <v>108</v>
      </c>
      <c r="K66" s="1" t="s">
        <v>116</v>
      </c>
      <c r="O66" s="11">
        <v>46000000</v>
      </c>
      <c r="Q66" s="1" t="s">
        <v>35</v>
      </c>
      <c r="R66" s="1" t="s">
        <v>36</v>
      </c>
      <c r="W66" s="1" t="s">
        <v>42</v>
      </c>
      <c r="Y66" s="1" t="s">
        <v>37</v>
      </c>
      <c r="AA66" s="12">
        <v>4618</v>
      </c>
      <c r="AB66" s="1" t="s">
        <v>117</v>
      </c>
      <c r="AC66" s="12" t="s">
        <v>65</v>
      </c>
      <c r="AD66" s="13">
        <v>0.21</v>
      </c>
      <c r="AE66" s="14" t="s">
        <v>39</v>
      </c>
      <c r="AF66" s="15"/>
      <c r="AG66" s="1">
        <v>6030000200</v>
      </c>
      <c r="AH66" s="1" t="s">
        <v>109</v>
      </c>
      <c r="AI66" s="1" t="s">
        <v>44</v>
      </c>
      <c r="AL66" s="1" t="str">
        <f t="shared" si="1"/>
        <v>"Doorverkoop onderwijs (niet max fac)","","","46000000","","unspsc","M","","","","","K","","A010","","4618","6030000200","False",""</v>
      </c>
    </row>
    <row r="67" spans="1:38" x14ac:dyDescent="0.25">
      <c r="A67" s="1">
        <v>100</v>
      </c>
      <c r="C67" s="1" t="s">
        <v>31</v>
      </c>
      <c r="F67" s="1">
        <v>8</v>
      </c>
      <c r="G67" s="1" t="s">
        <v>115</v>
      </c>
      <c r="H67" s="8">
        <v>7</v>
      </c>
      <c r="J67" s="1" t="s">
        <v>119</v>
      </c>
      <c r="K67" s="1" t="s">
        <v>116</v>
      </c>
      <c r="O67" s="11">
        <v>46000000</v>
      </c>
      <c r="Q67" s="1" t="s">
        <v>35</v>
      </c>
      <c r="R67" s="1" t="s">
        <v>36</v>
      </c>
      <c r="W67" s="1" t="s">
        <v>42</v>
      </c>
      <c r="Y67" s="1" t="s">
        <v>37</v>
      </c>
      <c r="AA67" s="12">
        <v>4618</v>
      </c>
      <c r="AB67" s="1" t="s">
        <v>117</v>
      </c>
      <c r="AC67" s="12" t="s">
        <v>65</v>
      </c>
      <c r="AD67" s="13">
        <v>0.21</v>
      </c>
      <c r="AE67" s="14" t="s">
        <v>39</v>
      </c>
      <c r="AF67" s="15"/>
      <c r="AG67" s="1">
        <v>6030000100</v>
      </c>
      <c r="AH67" s="1" t="s">
        <v>120</v>
      </c>
      <c r="AI67" s="1" t="s">
        <v>44</v>
      </c>
      <c r="AL67" s="1" t="str">
        <f t="shared" si="1"/>
        <v>"Maximumfactuur","","","46000000","","unspsc","M","","","","","K","","A010","","4618","6030000100","False",""</v>
      </c>
    </row>
    <row r="68" spans="1:38" x14ac:dyDescent="0.25">
      <c r="A68" s="1">
        <v>100</v>
      </c>
      <c r="B68" s="2"/>
      <c r="C68" s="1" t="s">
        <v>31</v>
      </c>
      <c r="F68" s="2">
        <v>8</v>
      </c>
      <c r="G68" s="2" t="s">
        <v>115</v>
      </c>
      <c r="J68" s="2" t="s">
        <v>33</v>
      </c>
      <c r="K68" s="2" t="s">
        <v>116</v>
      </c>
      <c r="O68" s="3">
        <v>46000000</v>
      </c>
      <c r="Q68" s="1" t="s">
        <v>35</v>
      </c>
      <c r="R68" s="1" t="s">
        <v>36</v>
      </c>
      <c r="Y68" s="1" t="s">
        <v>37</v>
      </c>
      <c r="Z68" s="2"/>
      <c r="AA68" s="4" t="s">
        <v>121</v>
      </c>
      <c r="AB68" s="2" t="s">
        <v>122</v>
      </c>
      <c r="AC68" s="5" t="s">
        <v>104</v>
      </c>
      <c r="AD68" s="9">
        <v>0.21</v>
      </c>
      <c r="AE68" s="10" t="s">
        <v>39</v>
      </c>
      <c r="AF68" s="7"/>
      <c r="AG68" s="2"/>
      <c r="AH68" s="2"/>
      <c r="AI68" s="2" t="s">
        <v>40</v>
      </c>
      <c r="AJ68" s="2"/>
      <c r="AK68" s="2"/>
      <c r="AL68" s="1" t="str">
        <f t="shared" ref="AL68:AL131" si="2">""""&amp;J68&amp;""""&amp;","&amp;""""&amp;L68&amp;""""&amp;","&amp;""""&amp;M68&amp;""""&amp;","&amp;""""&amp;O68&amp;""""&amp;","&amp;""""&amp;P68&amp;""""&amp;","&amp;""""&amp;Q68&amp;""""&amp;","&amp;""""&amp;R68&amp;""""&amp;","&amp;""""&amp;S68&amp;""""&amp;","&amp;""""&amp;T68&amp;""""&amp;","&amp;""""&amp;U68&amp;""""&amp;","&amp;""""&amp;V68&amp;""""&amp;","&amp;""""&amp;W68&amp;""""&amp;","&amp;""""&amp;X68&amp;""""&amp;","&amp;""""&amp;Y68&amp;""""&amp;","&amp;""""&amp;Z68&amp;""""&amp;","&amp;""""&amp;AA68&amp;""""&amp;","&amp;""""&amp;AG68&amp;""""&amp;","&amp;""""&amp;AI68&amp;""""&amp;","&amp;""""&amp;AJ68&amp;""""&amp;""</f>
        <v>"Maak je keuze","","","46000000","","unspsc","M","","","","","","","A010","","4618X","","True",""</v>
      </c>
    </row>
    <row r="69" spans="1:38" s="2" customFormat="1" x14ac:dyDescent="0.25">
      <c r="A69" s="1">
        <v>100</v>
      </c>
      <c r="B69" s="1"/>
      <c r="C69" s="1" t="s">
        <v>31</v>
      </c>
      <c r="D69" s="1"/>
      <c r="E69" s="1"/>
      <c r="F69" s="1">
        <v>8</v>
      </c>
      <c r="G69" s="1" t="s">
        <v>115</v>
      </c>
      <c r="H69" s="8">
        <v>17</v>
      </c>
      <c r="I69" s="8"/>
      <c r="J69" s="1" t="s">
        <v>41</v>
      </c>
      <c r="K69" s="1" t="s">
        <v>116</v>
      </c>
      <c r="L69" s="1"/>
      <c r="M69" s="1"/>
      <c r="N69" s="1"/>
      <c r="O69" s="11">
        <v>46000000</v>
      </c>
      <c r="P69" s="1"/>
      <c r="Q69" s="1" t="s">
        <v>35</v>
      </c>
      <c r="R69" s="1" t="s">
        <v>36</v>
      </c>
      <c r="S69" s="1"/>
      <c r="T69" s="1"/>
      <c r="U69" s="1"/>
      <c r="V69" s="1"/>
      <c r="W69" s="1" t="s">
        <v>42</v>
      </c>
      <c r="X69" s="1"/>
      <c r="Y69" s="1" t="s">
        <v>37</v>
      </c>
      <c r="Z69" s="1"/>
      <c r="AA69" s="12" t="s">
        <v>121</v>
      </c>
      <c r="AB69" s="1" t="s">
        <v>122</v>
      </c>
      <c r="AC69" s="12" t="s">
        <v>104</v>
      </c>
      <c r="AD69" s="13">
        <v>0.21</v>
      </c>
      <c r="AE69" s="14" t="s">
        <v>39</v>
      </c>
      <c r="AF69" s="15"/>
      <c r="AG69" s="1">
        <v>6152000600</v>
      </c>
      <c r="AH69" s="1" t="s">
        <v>118</v>
      </c>
      <c r="AI69" s="1" t="s">
        <v>44</v>
      </c>
      <c r="AJ69" s="1"/>
      <c r="AK69" s="1"/>
      <c r="AL69" s="1" t="str">
        <f t="shared" si="2"/>
        <v>"Operationele werking","","","46000000","","unspsc","M","","","","","K","","A010","","4618X","6152000600","False",""</v>
      </c>
    </row>
    <row r="70" spans="1:38" x14ac:dyDescent="0.25">
      <c r="A70" s="1">
        <v>100</v>
      </c>
      <c r="C70" s="1" t="s">
        <v>31</v>
      </c>
      <c r="F70" s="1">
        <v>8</v>
      </c>
      <c r="G70" s="1" t="s">
        <v>115</v>
      </c>
      <c r="H70" s="8">
        <v>6</v>
      </c>
      <c r="J70" s="1" t="s">
        <v>108</v>
      </c>
      <c r="K70" s="1" t="s">
        <v>116</v>
      </c>
      <c r="O70" s="11">
        <v>46000000</v>
      </c>
      <c r="Q70" s="1" t="s">
        <v>35</v>
      </c>
      <c r="R70" s="1" t="s">
        <v>36</v>
      </c>
      <c r="W70" s="1" t="s">
        <v>42</v>
      </c>
      <c r="Y70" s="1" t="s">
        <v>37</v>
      </c>
      <c r="AA70" s="12" t="s">
        <v>121</v>
      </c>
      <c r="AB70" s="1" t="s">
        <v>122</v>
      </c>
      <c r="AC70" s="12" t="s">
        <v>104</v>
      </c>
      <c r="AD70" s="13">
        <v>0.21</v>
      </c>
      <c r="AE70" s="14" t="s">
        <v>39</v>
      </c>
      <c r="AF70" s="15"/>
      <c r="AG70" s="1">
        <v>6030000200</v>
      </c>
      <c r="AH70" s="1" t="s">
        <v>109</v>
      </c>
      <c r="AI70" s="1" t="s">
        <v>44</v>
      </c>
      <c r="AL70" s="1" t="str">
        <f t="shared" si="2"/>
        <v>"Doorverkoop onderwijs (niet max fac)","","","46000000","","unspsc","M","","","","","K","","A010","","4618X","6030000200","False",""</v>
      </c>
    </row>
    <row r="71" spans="1:38" x14ac:dyDescent="0.25">
      <c r="A71" s="1">
        <v>100</v>
      </c>
      <c r="C71" s="1" t="s">
        <v>31</v>
      </c>
      <c r="F71" s="1">
        <v>8</v>
      </c>
      <c r="G71" s="1" t="s">
        <v>115</v>
      </c>
      <c r="H71" s="8">
        <v>7</v>
      </c>
      <c r="J71" s="1" t="s">
        <v>119</v>
      </c>
      <c r="K71" s="1" t="s">
        <v>116</v>
      </c>
      <c r="O71" s="11">
        <v>46000000</v>
      </c>
      <c r="Q71" s="1" t="s">
        <v>35</v>
      </c>
      <c r="R71" s="1" t="s">
        <v>36</v>
      </c>
      <c r="W71" s="1" t="s">
        <v>42</v>
      </c>
      <c r="Y71" s="1" t="s">
        <v>37</v>
      </c>
      <c r="AA71" s="12" t="s">
        <v>121</v>
      </c>
      <c r="AB71" s="1" t="s">
        <v>122</v>
      </c>
      <c r="AC71" s="12" t="s">
        <v>104</v>
      </c>
      <c r="AD71" s="13">
        <v>0.21</v>
      </c>
      <c r="AE71" s="14" t="s">
        <v>39</v>
      </c>
      <c r="AF71" s="15"/>
      <c r="AG71" s="1">
        <v>6030000100</v>
      </c>
      <c r="AH71" s="1" t="s">
        <v>120</v>
      </c>
      <c r="AI71" s="1" t="s">
        <v>44</v>
      </c>
      <c r="AL71" s="1" t="str">
        <f t="shared" si="2"/>
        <v>"Maximumfactuur","","","46000000","","unspsc","M","","","","","K","","A010","","4618X","6030000100","False",""</v>
      </c>
    </row>
    <row r="72" spans="1:38" s="2" customFormat="1" x14ac:dyDescent="0.25">
      <c r="A72" s="1">
        <v>100</v>
      </c>
      <c r="C72" s="1" t="s">
        <v>62</v>
      </c>
      <c r="D72" s="1" t="s">
        <v>123</v>
      </c>
      <c r="E72" s="1"/>
      <c r="F72" s="2">
        <v>8</v>
      </c>
      <c r="G72" s="2" t="s">
        <v>115</v>
      </c>
      <c r="H72" s="8"/>
      <c r="I72" s="8"/>
      <c r="J72" s="2" t="s">
        <v>33</v>
      </c>
      <c r="L72" s="1"/>
      <c r="M72" s="1"/>
      <c r="N72" s="1"/>
      <c r="O72" s="3">
        <v>46000000</v>
      </c>
      <c r="P72" s="1"/>
      <c r="Q72" s="1" t="s">
        <v>35</v>
      </c>
      <c r="R72" s="1" t="s">
        <v>36</v>
      </c>
      <c r="S72" s="1"/>
      <c r="T72" s="1"/>
      <c r="U72" s="1"/>
      <c r="V72" s="1"/>
      <c r="W72" s="1"/>
      <c r="X72" s="1"/>
      <c r="Y72" s="1" t="s">
        <v>37</v>
      </c>
      <c r="AA72" s="4">
        <v>461815</v>
      </c>
      <c r="AB72" s="2" t="s">
        <v>124</v>
      </c>
      <c r="AC72" s="5" t="s">
        <v>65</v>
      </c>
      <c r="AD72" s="9">
        <v>0.21</v>
      </c>
      <c r="AE72" s="10" t="s">
        <v>39</v>
      </c>
      <c r="AF72" s="19"/>
      <c r="AI72" s="2" t="s">
        <v>40</v>
      </c>
      <c r="AL72" s="1" t="str">
        <f t="shared" si="2"/>
        <v>"Maak je keuze","","","46000000","","unspsc","M","","","","","","","A010","","461815","","True",""</v>
      </c>
    </row>
    <row r="73" spans="1:38" x14ac:dyDescent="0.25">
      <c r="A73" s="1">
        <v>100</v>
      </c>
      <c r="C73" s="1" t="s">
        <v>62</v>
      </c>
      <c r="F73" s="1">
        <v>8</v>
      </c>
      <c r="G73" s="1" t="s">
        <v>115</v>
      </c>
      <c r="H73" s="8">
        <v>17</v>
      </c>
      <c r="J73" s="1" t="s">
        <v>41</v>
      </c>
      <c r="O73" s="11">
        <v>46000000</v>
      </c>
      <c r="Q73" s="1" t="s">
        <v>35</v>
      </c>
      <c r="R73" s="1" t="s">
        <v>36</v>
      </c>
      <c r="W73" s="1" t="s">
        <v>42</v>
      </c>
      <c r="Y73" s="1" t="s">
        <v>37</v>
      </c>
      <c r="AA73" s="12">
        <v>461815</v>
      </c>
      <c r="AB73" s="1" t="s">
        <v>124</v>
      </c>
      <c r="AC73" s="12" t="s">
        <v>65</v>
      </c>
      <c r="AD73" s="13">
        <v>0.21</v>
      </c>
      <c r="AE73" s="14" t="s">
        <v>39</v>
      </c>
      <c r="AG73" s="1">
        <v>6152000600</v>
      </c>
      <c r="AH73" s="1" t="s">
        <v>118</v>
      </c>
      <c r="AI73" s="1" t="s">
        <v>44</v>
      </c>
      <c r="AL73" s="1" t="str">
        <f t="shared" si="2"/>
        <v>"Operationele werking","","","46000000","","unspsc","M","","","","","K","","A010","","461815","6152000600","False",""</v>
      </c>
    </row>
    <row r="74" spans="1:38" x14ac:dyDescent="0.25">
      <c r="A74" s="1">
        <v>100</v>
      </c>
      <c r="C74" s="1" t="s">
        <v>62</v>
      </c>
      <c r="F74" s="1">
        <v>8</v>
      </c>
      <c r="G74" s="1" t="s">
        <v>115</v>
      </c>
      <c r="H74" s="8">
        <v>9</v>
      </c>
      <c r="J74" s="1" t="s">
        <v>59</v>
      </c>
      <c r="O74" s="11">
        <v>46000000</v>
      </c>
      <c r="Q74" s="1" t="s">
        <v>35</v>
      </c>
      <c r="R74" s="1" t="s">
        <v>36</v>
      </c>
      <c r="W74" s="1" t="s">
        <v>60</v>
      </c>
      <c r="Y74" s="1" t="s">
        <v>37</v>
      </c>
      <c r="AA74" s="12">
        <v>461815</v>
      </c>
      <c r="AB74" s="1" t="s">
        <v>124</v>
      </c>
      <c r="AC74" s="12" t="s">
        <v>65</v>
      </c>
      <c r="AD74" s="13">
        <v>0.21</v>
      </c>
      <c r="AE74" s="14" t="s">
        <v>39</v>
      </c>
      <c r="AG74" s="1">
        <v>2302000000</v>
      </c>
      <c r="AH74" s="1" t="s">
        <v>125</v>
      </c>
      <c r="AI74" s="1" t="s">
        <v>44</v>
      </c>
      <c r="AL74" s="1" t="str">
        <f t="shared" si="2"/>
        <v>"Investering","","","46000000","","unspsc","M","","","","","A","","A010","","461815","2302000000","False",""</v>
      </c>
    </row>
    <row r="75" spans="1:38" x14ac:dyDescent="0.25">
      <c r="A75" s="1">
        <v>100</v>
      </c>
      <c r="B75" s="2"/>
      <c r="F75" s="2">
        <v>8</v>
      </c>
      <c r="G75" s="2" t="s">
        <v>115</v>
      </c>
      <c r="J75" s="2" t="s">
        <v>33</v>
      </c>
      <c r="K75" s="2"/>
      <c r="O75" s="3">
        <v>46000000</v>
      </c>
      <c r="Q75" s="1" t="s">
        <v>35</v>
      </c>
      <c r="R75" s="1" t="s">
        <v>36</v>
      </c>
      <c r="Y75" s="1" t="s">
        <v>37</v>
      </c>
      <c r="Z75" s="2"/>
      <c r="AA75" s="4" t="s">
        <v>126</v>
      </c>
      <c r="AB75" s="2" t="s">
        <v>127</v>
      </c>
      <c r="AC75" s="5" t="s">
        <v>104</v>
      </c>
      <c r="AD75" s="9">
        <v>0.21</v>
      </c>
      <c r="AE75" s="10" t="s">
        <v>39</v>
      </c>
      <c r="AF75" s="19"/>
      <c r="AG75" s="2"/>
      <c r="AH75" s="2"/>
      <c r="AI75" s="2" t="s">
        <v>40</v>
      </c>
      <c r="AJ75" s="2"/>
      <c r="AK75" s="2"/>
      <c r="AL75" s="1" t="str">
        <f t="shared" si="2"/>
        <v>"Maak je keuze","","","46000000","","unspsc","M","","","","","","","A010","","461815X","","True",""</v>
      </c>
    </row>
    <row r="76" spans="1:38" s="2" customFormat="1" x14ac:dyDescent="0.25">
      <c r="A76" s="1">
        <v>100</v>
      </c>
      <c r="B76" s="1"/>
      <c r="C76" s="1"/>
      <c r="D76" s="1"/>
      <c r="E76" s="1"/>
      <c r="F76" s="1">
        <v>8</v>
      </c>
      <c r="G76" s="1" t="s">
        <v>115</v>
      </c>
      <c r="H76" s="8">
        <v>17</v>
      </c>
      <c r="I76" s="8"/>
      <c r="J76" s="1" t="s">
        <v>41</v>
      </c>
      <c r="K76" s="1"/>
      <c r="L76" s="1"/>
      <c r="M76" s="1"/>
      <c r="N76" s="1"/>
      <c r="O76" s="11">
        <v>46000000</v>
      </c>
      <c r="P76" s="1"/>
      <c r="Q76" s="1" t="s">
        <v>35</v>
      </c>
      <c r="R76" s="1" t="s">
        <v>36</v>
      </c>
      <c r="S76" s="1"/>
      <c r="T76" s="1"/>
      <c r="U76" s="1"/>
      <c r="V76" s="1"/>
      <c r="W76" s="1" t="s">
        <v>42</v>
      </c>
      <c r="X76" s="1"/>
      <c r="Y76" s="1" t="s">
        <v>37</v>
      </c>
      <c r="Z76" s="1"/>
      <c r="AA76" s="12" t="s">
        <v>126</v>
      </c>
      <c r="AB76" s="1" t="s">
        <v>127</v>
      </c>
      <c r="AC76" s="12" t="s">
        <v>104</v>
      </c>
      <c r="AD76" s="13">
        <v>0.21</v>
      </c>
      <c r="AE76" s="14" t="s">
        <v>39</v>
      </c>
      <c r="AF76" s="16"/>
      <c r="AG76" s="1">
        <v>6152000600</v>
      </c>
      <c r="AH76" s="1" t="s">
        <v>118</v>
      </c>
      <c r="AI76" s="1" t="s">
        <v>44</v>
      </c>
      <c r="AJ76" s="1"/>
      <c r="AK76" s="1"/>
      <c r="AL76" s="1" t="str">
        <f t="shared" si="2"/>
        <v>"Operationele werking","","","46000000","","unspsc","M","","","","","K","","A010","","461815X","6152000600","False",""</v>
      </c>
    </row>
    <row r="77" spans="1:38" x14ac:dyDescent="0.25">
      <c r="A77" s="1">
        <v>100</v>
      </c>
      <c r="F77" s="1">
        <v>8</v>
      </c>
      <c r="G77" s="1" t="s">
        <v>115</v>
      </c>
      <c r="H77" s="8">
        <v>9</v>
      </c>
      <c r="J77" s="1" t="s">
        <v>59</v>
      </c>
      <c r="O77" s="11">
        <v>46000000</v>
      </c>
      <c r="Q77" s="1" t="s">
        <v>35</v>
      </c>
      <c r="R77" s="1" t="s">
        <v>36</v>
      </c>
      <c r="W77" s="1" t="s">
        <v>60</v>
      </c>
      <c r="Y77" s="1" t="s">
        <v>37</v>
      </c>
      <c r="AA77" s="12" t="s">
        <v>126</v>
      </c>
      <c r="AB77" s="1" t="s">
        <v>127</v>
      </c>
      <c r="AC77" s="12" t="s">
        <v>104</v>
      </c>
      <c r="AD77" s="13">
        <v>0.21</v>
      </c>
      <c r="AE77" s="14" t="s">
        <v>39</v>
      </c>
      <c r="AG77" s="1">
        <v>2302000000</v>
      </c>
      <c r="AH77" s="1" t="s">
        <v>125</v>
      </c>
      <c r="AI77" s="1" t="s">
        <v>44</v>
      </c>
      <c r="AL77" s="1" t="str">
        <f t="shared" si="2"/>
        <v>"Investering","","","46000000","","unspsc","M","","","","","A","","A010","","461815X","2302000000","False",""</v>
      </c>
    </row>
    <row r="78" spans="1:38" x14ac:dyDescent="0.25">
      <c r="A78" s="1">
        <v>100</v>
      </c>
      <c r="B78" s="2"/>
      <c r="C78" s="1" t="s">
        <v>31</v>
      </c>
      <c r="F78" s="2">
        <v>8</v>
      </c>
      <c r="G78" s="2" t="s">
        <v>115</v>
      </c>
      <c r="J78" s="2" t="s">
        <v>33</v>
      </c>
      <c r="K78" s="2" t="s">
        <v>128</v>
      </c>
      <c r="O78" s="3">
        <v>46000000</v>
      </c>
      <c r="Q78" s="1" t="s">
        <v>35</v>
      </c>
      <c r="R78" s="1" t="s">
        <v>36</v>
      </c>
      <c r="Y78" s="1" t="s">
        <v>37</v>
      </c>
      <c r="Z78" s="2"/>
      <c r="AA78" s="4">
        <v>4618</v>
      </c>
      <c r="AB78" s="2" t="s">
        <v>128</v>
      </c>
      <c r="AC78" s="5" t="s">
        <v>65</v>
      </c>
      <c r="AD78" s="9">
        <v>0.21</v>
      </c>
      <c r="AE78" s="10" t="s">
        <v>39</v>
      </c>
      <c r="AF78" s="7"/>
      <c r="AG78" s="2"/>
      <c r="AH78" s="2"/>
      <c r="AI78" s="2" t="s">
        <v>40</v>
      </c>
      <c r="AJ78" s="2"/>
      <c r="AK78" s="2"/>
      <c r="AL78" s="1" t="str">
        <f t="shared" si="2"/>
        <v>"Maak je keuze","","","46000000","","unspsc","M","","","","","","","A010","","4618","","True",""</v>
      </c>
    </row>
    <row r="79" spans="1:38" x14ac:dyDescent="0.25">
      <c r="A79" s="1">
        <v>100</v>
      </c>
      <c r="C79" s="1" t="s">
        <v>31</v>
      </c>
      <c r="F79" s="1">
        <v>8</v>
      </c>
      <c r="G79" s="1" t="s">
        <v>115</v>
      </c>
      <c r="H79" s="8">
        <v>17</v>
      </c>
      <c r="J79" s="1" t="s">
        <v>41</v>
      </c>
      <c r="K79" s="1" t="s">
        <v>128</v>
      </c>
      <c r="O79" s="11">
        <v>46000000</v>
      </c>
      <c r="Q79" s="1" t="s">
        <v>35</v>
      </c>
      <c r="R79" s="1" t="s">
        <v>36</v>
      </c>
      <c r="W79" s="1" t="s">
        <v>42</v>
      </c>
      <c r="Y79" s="1" t="s">
        <v>37</v>
      </c>
      <c r="AA79" s="12">
        <v>4618</v>
      </c>
      <c r="AB79" s="1" t="s">
        <v>128</v>
      </c>
      <c r="AC79" s="12" t="s">
        <v>65</v>
      </c>
      <c r="AD79" s="13">
        <v>0.21</v>
      </c>
      <c r="AE79" s="14" t="s">
        <v>39</v>
      </c>
      <c r="AF79" s="15"/>
      <c r="AG79" s="1">
        <v>6152000600</v>
      </c>
      <c r="AH79" s="1" t="s">
        <v>118</v>
      </c>
      <c r="AI79" s="1" t="s">
        <v>44</v>
      </c>
      <c r="AL79" s="1" t="str">
        <f t="shared" si="2"/>
        <v>"Operationele werking","","","46000000","","unspsc","M","","","","","K","","A010","","4618","6152000600","False",""</v>
      </c>
    </row>
    <row r="80" spans="1:38" s="2" customFormat="1" x14ac:dyDescent="0.25">
      <c r="A80" s="1">
        <v>100</v>
      </c>
      <c r="B80" s="1"/>
      <c r="C80" s="1" t="s">
        <v>31</v>
      </c>
      <c r="D80" s="1"/>
      <c r="E80" s="1"/>
      <c r="F80" s="1">
        <v>8</v>
      </c>
      <c r="G80" s="1" t="s">
        <v>115</v>
      </c>
      <c r="H80" s="8">
        <v>6</v>
      </c>
      <c r="I80" s="8"/>
      <c r="J80" s="1" t="s">
        <v>108</v>
      </c>
      <c r="K80" s="1" t="s">
        <v>128</v>
      </c>
      <c r="L80" s="1"/>
      <c r="M80" s="1"/>
      <c r="N80" s="1"/>
      <c r="O80" s="11">
        <v>46000000</v>
      </c>
      <c r="P80" s="1"/>
      <c r="Q80" s="1" t="s">
        <v>35</v>
      </c>
      <c r="R80" s="1" t="s">
        <v>36</v>
      </c>
      <c r="S80" s="1"/>
      <c r="T80" s="1"/>
      <c r="U80" s="1"/>
      <c r="V80" s="1"/>
      <c r="W80" s="1" t="s">
        <v>42</v>
      </c>
      <c r="X80" s="1"/>
      <c r="Y80" s="1" t="s">
        <v>37</v>
      </c>
      <c r="Z80" s="1"/>
      <c r="AA80" s="12">
        <v>4618</v>
      </c>
      <c r="AB80" s="1" t="s">
        <v>128</v>
      </c>
      <c r="AC80" s="12" t="s">
        <v>65</v>
      </c>
      <c r="AD80" s="13">
        <v>0.21</v>
      </c>
      <c r="AE80" s="14" t="s">
        <v>39</v>
      </c>
      <c r="AF80" s="15"/>
      <c r="AG80" s="1">
        <v>6030000200</v>
      </c>
      <c r="AH80" s="1" t="s">
        <v>109</v>
      </c>
      <c r="AI80" s="1" t="s">
        <v>44</v>
      </c>
      <c r="AJ80" s="1"/>
      <c r="AK80" s="1"/>
      <c r="AL80" s="1" t="str">
        <f t="shared" si="2"/>
        <v>"Doorverkoop onderwijs (niet max fac)","","","46000000","","unspsc","M","","","","","K","","A010","","4618","6030000200","False",""</v>
      </c>
    </row>
    <row r="81" spans="1:38" x14ac:dyDescent="0.25">
      <c r="A81" s="1">
        <v>100</v>
      </c>
      <c r="C81" s="1" t="s">
        <v>31</v>
      </c>
      <c r="F81" s="1">
        <v>8</v>
      </c>
      <c r="G81" s="1" t="s">
        <v>115</v>
      </c>
      <c r="H81" s="8">
        <v>7</v>
      </c>
      <c r="J81" s="1" t="s">
        <v>119</v>
      </c>
      <c r="K81" s="1" t="s">
        <v>128</v>
      </c>
      <c r="O81" s="11">
        <v>46000000</v>
      </c>
      <c r="Q81" s="1" t="s">
        <v>35</v>
      </c>
      <c r="R81" s="1" t="s">
        <v>36</v>
      </c>
      <c r="W81" s="1" t="s">
        <v>42</v>
      </c>
      <c r="Y81" s="1" t="s">
        <v>37</v>
      </c>
      <c r="AA81" s="12">
        <v>4618</v>
      </c>
      <c r="AB81" s="1" t="s">
        <v>128</v>
      </c>
      <c r="AC81" s="12" t="s">
        <v>65</v>
      </c>
      <c r="AD81" s="13">
        <v>0.21</v>
      </c>
      <c r="AE81" s="14" t="s">
        <v>39</v>
      </c>
      <c r="AF81" s="15"/>
      <c r="AG81" s="1">
        <v>6030000100</v>
      </c>
      <c r="AH81" s="1" t="s">
        <v>120</v>
      </c>
      <c r="AI81" s="1" t="s">
        <v>44</v>
      </c>
      <c r="AL81" s="1" t="str">
        <f t="shared" si="2"/>
        <v>"Maximumfactuur","","","46000000","","unspsc","M","","","","","K","","A010","","4618","6030000100","False",""</v>
      </c>
    </row>
    <row r="82" spans="1:38" x14ac:dyDescent="0.25">
      <c r="A82" s="1">
        <v>100</v>
      </c>
      <c r="B82" s="2"/>
      <c r="C82" s="1" t="s">
        <v>31</v>
      </c>
      <c r="F82" s="2">
        <v>8</v>
      </c>
      <c r="G82" s="2" t="s">
        <v>115</v>
      </c>
      <c r="J82" s="2" t="s">
        <v>33</v>
      </c>
      <c r="K82" s="2" t="s">
        <v>128</v>
      </c>
      <c r="O82" s="3">
        <v>46000000</v>
      </c>
      <c r="Q82" s="1" t="s">
        <v>35</v>
      </c>
      <c r="R82" s="1" t="s">
        <v>36</v>
      </c>
      <c r="Y82" s="1" t="s">
        <v>37</v>
      </c>
      <c r="Z82" s="2"/>
      <c r="AA82" s="4" t="s">
        <v>121</v>
      </c>
      <c r="AB82" s="2" t="s">
        <v>129</v>
      </c>
      <c r="AC82" s="5" t="s">
        <v>104</v>
      </c>
      <c r="AD82" s="9">
        <v>0.21</v>
      </c>
      <c r="AE82" s="10" t="s">
        <v>39</v>
      </c>
      <c r="AF82" s="7"/>
      <c r="AG82" s="2"/>
      <c r="AH82" s="2"/>
      <c r="AI82" s="2" t="s">
        <v>40</v>
      </c>
      <c r="AJ82" s="2"/>
      <c r="AK82" s="2"/>
      <c r="AL82" s="1" t="str">
        <f t="shared" si="2"/>
        <v>"Maak je keuze","","","46000000","","unspsc","M","","","","","","","A010","","4618X","","True",""</v>
      </c>
    </row>
    <row r="83" spans="1:38" s="2" customFormat="1" x14ac:dyDescent="0.25">
      <c r="A83" s="1">
        <v>100</v>
      </c>
      <c r="B83" s="1"/>
      <c r="C83" s="1" t="s">
        <v>31</v>
      </c>
      <c r="D83" s="1"/>
      <c r="E83" s="1"/>
      <c r="F83" s="1">
        <v>8</v>
      </c>
      <c r="G83" s="1" t="s">
        <v>115</v>
      </c>
      <c r="H83" s="8">
        <v>17</v>
      </c>
      <c r="I83" s="8"/>
      <c r="J83" s="1" t="s">
        <v>41</v>
      </c>
      <c r="K83" s="1" t="s">
        <v>128</v>
      </c>
      <c r="L83" s="1"/>
      <c r="M83" s="1"/>
      <c r="N83" s="1"/>
      <c r="O83" s="11">
        <v>46000000</v>
      </c>
      <c r="P83" s="1"/>
      <c r="Q83" s="1" t="s">
        <v>35</v>
      </c>
      <c r="R83" s="1" t="s">
        <v>36</v>
      </c>
      <c r="S83" s="1"/>
      <c r="T83" s="1"/>
      <c r="U83" s="1"/>
      <c r="V83" s="1"/>
      <c r="W83" s="1" t="s">
        <v>42</v>
      </c>
      <c r="X83" s="1"/>
      <c r="Y83" s="1" t="s">
        <v>37</v>
      </c>
      <c r="Z83" s="1"/>
      <c r="AA83" s="12" t="s">
        <v>121</v>
      </c>
      <c r="AB83" s="1" t="s">
        <v>129</v>
      </c>
      <c r="AC83" s="12" t="s">
        <v>104</v>
      </c>
      <c r="AD83" s="13">
        <v>0.21</v>
      </c>
      <c r="AE83" s="14" t="s">
        <v>39</v>
      </c>
      <c r="AF83" s="15"/>
      <c r="AG83" s="1">
        <v>6152000600</v>
      </c>
      <c r="AH83" s="1" t="s">
        <v>118</v>
      </c>
      <c r="AI83" s="1" t="s">
        <v>44</v>
      </c>
      <c r="AJ83" s="1"/>
      <c r="AK83" s="1"/>
      <c r="AL83" s="1" t="str">
        <f t="shared" si="2"/>
        <v>"Operationele werking","","","46000000","","unspsc","M","","","","","K","","A010","","4618X","6152000600","False",""</v>
      </c>
    </row>
    <row r="84" spans="1:38" x14ac:dyDescent="0.25">
      <c r="A84" s="1">
        <v>100</v>
      </c>
      <c r="C84" s="1" t="s">
        <v>31</v>
      </c>
      <c r="F84" s="1">
        <v>8</v>
      </c>
      <c r="G84" s="1" t="s">
        <v>115</v>
      </c>
      <c r="H84" s="8">
        <v>6</v>
      </c>
      <c r="J84" s="1" t="s">
        <v>108</v>
      </c>
      <c r="K84" s="1" t="s">
        <v>128</v>
      </c>
      <c r="O84" s="11">
        <v>46000000</v>
      </c>
      <c r="Q84" s="1" t="s">
        <v>35</v>
      </c>
      <c r="R84" s="1" t="s">
        <v>36</v>
      </c>
      <c r="W84" s="1" t="s">
        <v>42</v>
      </c>
      <c r="Y84" s="1" t="s">
        <v>37</v>
      </c>
      <c r="AA84" s="12" t="s">
        <v>121</v>
      </c>
      <c r="AB84" s="1" t="s">
        <v>129</v>
      </c>
      <c r="AC84" s="12" t="s">
        <v>104</v>
      </c>
      <c r="AD84" s="13">
        <v>0.21</v>
      </c>
      <c r="AE84" s="14" t="s">
        <v>39</v>
      </c>
      <c r="AF84" s="15"/>
      <c r="AG84" s="1">
        <v>6030000200</v>
      </c>
      <c r="AH84" s="1" t="s">
        <v>109</v>
      </c>
      <c r="AI84" s="1" t="s">
        <v>44</v>
      </c>
      <c r="AL84" s="1" t="str">
        <f t="shared" si="2"/>
        <v>"Doorverkoop onderwijs (niet max fac)","","","46000000","","unspsc","M","","","","","K","","A010","","4618X","6030000200","False",""</v>
      </c>
    </row>
    <row r="85" spans="1:38" x14ac:dyDescent="0.25">
      <c r="A85" s="1">
        <v>100</v>
      </c>
      <c r="C85" s="1" t="s">
        <v>31</v>
      </c>
      <c r="F85" s="1">
        <v>8</v>
      </c>
      <c r="G85" s="1" t="s">
        <v>115</v>
      </c>
      <c r="H85" s="8">
        <v>7</v>
      </c>
      <c r="J85" s="1" t="s">
        <v>119</v>
      </c>
      <c r="K85" s="1" t="s">
        <v>128</v>
      </c>
      <c r="O85" s="11">
        <v>46000000</v>
      </c>
      <c r="Q85" s="1" t="s">
        <v>35</v>
      </c>
      <c r="R85" s="1" t="s">
        <v>36</v>
      </c>
      <c r="W85" s="1" t="s">
        <v>42</v>
      </c>
      <c r="Y85" s="1" t="s">
        <v>37</v>
      </c>
      <c r="AA85" s="12" t="s">
        <v>121</v>
      </c>
      <c r="AB85" s="1" t="s">
        <v>129</v>
      </c>
      <c r="AC85" s="12" t="s">
        <v>104</v>
      </c>
      <c r="AD85" s="13">
        <v>0.21</v>
      </c>
      <c r="AE85" s="14" t="s">
        <v>39</v>
      </c>
      <c r="AF85" s="15"/>
      <c r="AG85" s="1">
        <v>6030000100</v>
      </c>
      <c r="AH85" s="1" t="s">
        <v>120</v>
      </c>
      <c r="AI85" s="1" t="s">
        <v>44</v>
      </c>
      <c r="AL85" s="1" t="str">
        <f t="shared" si="2"/>
        <v>"Maximumfactuur","","","46000000","","unspsc","M","","","","","K","","A010","","4618X","6030000100","False",""</v>
      </c>
    </row>
    <row r="86" spans="1:38" x14ac:dyDescent="0.25">
      <c r="A86" s="1">
        <v>100</v>
      </c>
      <c r="B86" s="2"/>
      <c r="D86" s="1" t="s">
        <v>79</v>
      </c>
      <c r="F86" s="2">
        <v>14</v>
      </c>
      <c r="G86" s="2" t="s">
        <v>73</v>
      </c>
      <c r="J86" s="2" t="s">
        <v>33</v>
      </c>
      <c r="K86" s="2"/>
      <c r="O86" s="3">
        <v>46000000</v>
      </c>
      <c r="Q86" s="1" t="s">
        <v>35</v>
      </c>
      <c r="R86" s="1" t="s">
        <v>36</v>
      </c>
      <c r="Y86" s="1" t="s">
        <v>37</v>
      </c>
      <c r="Z86" s="2"/>
      <c r="AA86" s="4">
        <v>461916</v>
      </c>
      <c r="AB86" s="2" t="s">
        <v>130</v>
      </c>
      <c r="AC86" s="5" t="s">
        <v>65</v>
      </c>
      <c r="AD86" s="9">
        <v>0.21</v>
      </c>
      <c r="AE86" s="10" t="s">
        <v>39</v>
      </c>
      <c r="AF86" s="19"/>
      <c r="AG86" s="2"/>
      <c r="AH86" s="2"/>
      <c r="AI86" s="2" t="s">
        <v>40</v>
      </c>
      <c r="AJ86" s="2"/>
      <c r="AK86" s="2"/>
      <c r="AL86" s="1" t="str">
        <f t="shared" si="2"/>
        <v>"Maak je keuze","","","46000000","","unspsc","M","","","","","","","A010","","461916","","True",""</v>
      </c>
    </row>
    <row r="87" spans="1:38" s="2" customFormat="1" x14ac:dyDescent="0.25">
      <c r="A87" s="1">
        <v>100</v>
      </c>
      <c r="B87" s="1"/>
      <c r="C87" s="1"/>
      <c r="D87" s="1" t="s">
        <v>79</v>
      </c>
      <c r="E87" s="1"/>
      <c r="F87" s="1">
        <v>14</v>
      </c>
      <c r="G87" s="1" t="s">
        <v>73</v>
      </c>
      <c r="H87" s="8">
        <v>17</v>
      </c>
      <c r="I87" s="8"/>
      <c r="J87" s="1" t="s">
        <v>41</v>
      </c>
      <c r="K87" s="1"/>
      <c r="L87" s="1"/>
      <c r="M87" s="1"/>
      <c r="N87" s="1"/>
      <c r="O87" s="11">
        <v>46000000</v>
      </c>
      <c r="P87" s="1"/>
      <c r="Q87" s="1" t="s">
        <v>35</v>
      </c>
      <c r="R87" s="1" t="s">
        <v>36</v>
      </c>
      <c r="S87" s="1"/>
      <c r="T87" s="1"/>
      <c r="U87" s="1"/>
      <c r="V87" s="1"/>
      <c r="W87" s="1" t="s">
        <v>42</v>
      </c>
      <c r="X87" s="1"/>
      <c r="Y87" s="1" t="s">
        <v>37</v>
      </c>
      <c r="Z87" s="1"/>
      <c r="AA87" s="12">
        <v>461916</v>
      </c>
      <c r="AB87" s="1" t="s">
        <v>130</v>
      </c>
      <c r="AC87" s="12" t="s">
        <v>65</v>
      </c>
      <c r="AD87" s="13">
        <v>0.21</v>
      </c>
      <c r="AE87" s="14" t="s">
        <v>39</v>
      </c>
      <c r="AF87" s="16"/>
      <c r="AG87" s="1">
        <v>6103000900</v>
      </c>
      <c r="AH87" s="1" t="s">
        <v>131</v>
      </c>
      <c r="AI87" s="1" t="s">
        <v>44</v>
      </c>
      <c r="AJ87" s="1"/>
      <c r="AK87" s="1"/>
      <c r="AL87" s="1" t="str">
        <f t="shared" si="2"/>
        <v>"Operationele werking","","","46000000","","unspsc","M","","","","","K","","A010","","461916","6103000900","False",""</v>
      </c>
    </row>
    <row r="88" spans="1:38" x14ac:dyDescent="0.25">
      <c r="A88" s="1">
        <v>100</v>
      </c>
      <c r="D88" s="1" t="s">
        <v>79</v>
      </c>
      <c r="F88" s="1">
        <v>14</v>
      </c>
      <c r="G88" s="1" t="s">
        <v>73</v>
      </c>
      <c r="H88" s="8">
        <v>9</v>
      </c>
      <c r="J88" s="1" t="s">
        <v>59</v>
      </c>
      <c r="O88" s="11">
        <v>46000000</v>
      </c>
      <c r="Q88" s="1" t="s">
        <v>35</v>
      </c>
      <c r="R88" s="1" t="s">
        <v>36</v>
      </c>
      <c r="W88" s="1" t="s">
        <v>60</v>
      </c>
      <c r="Y88" s="1" t="s">
        <v>37</v>
      </c>
      <c r="AA88" s="12">
        <v>461916</v>
      </c>
      <c r="AB88" s="1" t="s">
        <v>130</v>
      </c>
      <c r="AC88" s="12" t="s">
        <v>65</v>
      </c>
      <c r="AD88" s="13">
        <v>0.21</v>
      </c>
      <c r="AE88" s="14" t="s">
        <v>39</v>
      </c>
      <c r="AG88" s="1">
        <v>2300000000</v>
      </c>
      <c r="AH88" s="1" t="s">
        <v>132</v>
      </c>
      <c r="AI88" s="1" t="s">
        <v>44</v>
      </c>
      <c r="AL88" s="1" t="str">
        <f t="shared" si="2"/>
        <v>"Investering","","","46000000","","unspsc","M","","","","","A","","A010","","461916","2300000000","False",""</v>
      </c>
    </row>
    <row r="89" spans="1:38" s="21" customFormat="1" x14ac:dyDescent="0.25">
      <c r="A89" s="1">
        <v>100</v>
      </c>
      <c r="B89" s="30"/>
      <c r="D89" s="21" t="s">
        <v>79</v>
      </c>
      <c r="F89" s="30">
        <v>14</v>
      </c>
      <c r="G89" s="30" t="s">
        <v>73</v>
      </c>
      <c r="H89" s="8"/>
      <c r="I89" s="22"/>
      <c r="J89" s="30" t="s">
        <v>33</v>
      </c>
      <c r="K89" s="30"/>
      <c r="O89" s="36">
        <v>46000000</v>
      </c>
      <c r="Q89" s="21" t="s">
        <v>35</v>
      </c>
      <c r="R89" s="21" t="s">
        <v>36</v>
      </c>
      <c r="Y89" s="21" t="s">
        <v>37</v>
      </c>
      <c r="Z89" s="30"/>
      <c r="AA89" s="37">
        <v>46191609</v>
      </c>
      <c r="AB89" s="30" t="s">
        <v>130</v>
      </c>
      <c r="AC89" s="31" t="s">
        <v>38</v>
      </c>
      <c r="AD89" s="32">
        <v>0.06</v>
      </c>
      <c r="AE89" s="33" t="s">
        <v>39</v>
      </c>
      <c r="AF89" s="38"/>
      <c r="AG89" s="30"/>
      <c r="AH89" s="30"/>
      <c r="AI89" s="30" t="s">
        <v>40</v>
      </c>
      <c r="AJ89" s="30"/>
      <c r="AK89" s="30"/>
      <c r="AL89" s="1" t="str">
        <f t="shared" si="2"/>
        <v>"Maak je keuze","","","46000000","","unspsc","M","","","","","","","A010","","46191609","","True",""</v>
      </c>
    </row>
    <row r="90" spans="1:38" s="30" customFormat="1" x14ac:dyDescent="0.25">
      <c r="A90" s="1">
        <v>100</v>
      </c>
      <c r="B90" s="21"/>
      <c r="C90" s="21"/>
      <c r="D90" s="21" t="s">
        <v>79</v>
      </c>
      <c r="E90" s="21"/>
      <c r="F90" s="21">
        <v>14</v>
      </c>
      <c r="G90" s="21" t="s">
        <v>73</v>
      </c>
      <c r="H90" s="8">
        <v>17</v>
      </c>
      <c r="I90" s="22"/>
      <c r="J90" s="21" t="s">
        <v>41</v>
      </c>
      <c r="K90" s="21"/>
      <c r="L90" s="21"/>
      <c r="M90" s="21"/>
      <c r="N90" s="21"/>
      <c r="O90" s="23">
        <v>46000000</v>
      </c>
      <c r="P90" s="21"/>
      <c r="Q90" s="21" t="s">
        <v>35</v>
      </c>
      <c r="R90" s="21" t="s">
        <v>36</v>
      </c>
      <c r="S90" s="21"/>
      <c r="T90" s="21"/>
      <c r="U90" s="21"/>
      <c r="V90" s="21"/>
      <c r="W90" s="21" t="s">
        <v>42</v>
      </c>
      <c r="X90" s="21"/>
      <c r="Y90" s="21" t="s">
        <v>37</v>
      </c>
      <c r="Z90" s="21"/>
      <c r="AA90" s="25">
        <v>46191609</v>
      </c>
      <c r="AB90" s="21" t="s">
        <v>130</v>
      </c>
      <c r="AC90" s="34" t="s">
        <v>38</v>
      </c>
      <c r="AD90" s="35">
        <v>0.06</v>
      </c>
      <c r="AE90" s="27" t="s">
        <v>39</v>
      </c>
      <c r="AF90" s="28"/>
      <c r="AG90" s="21">
        <v>6103000900</v>
      </c>
      <c r="AH90" s="21" t="s">
        <v>131</v>
      </c>
      <c r="AI90" s="21" t="s">
        <v>44</v>
      </c>
      <c r="AJ90" s="21"/>
      <c r="AK90" s="21"/>
      <c r="AL90" s="1" t="str">
        <f t="shared" si="2"/>
        <v>"Operationele werking","","","46000000","","unspsc","M","","","","","K","","A010","","46191609","6103000900","False",""</v>
      </c>
    </row>
    <row r="91" spans="1:38" s="21" customFormat="1" x14ac:dyDescent="0.25">
      <c r="A91" s="1">
        <v>100</v>
      </c>
      <c r="D91" s="21" t="s">
        <v>79</v>
      </c>
      <c r="F91" s="21">
        <v>14</v>
      </c>
      <c r="G91" s="21" t="s">
        <v>73</v>
      </c>
      <c r="H91" s="8">
        <v>9</v>
      </c>
      <c r="I91" s="22"/>
      <c r="J91" s="21" t="s">
        <v>59</v>
      </c>
      <c r="O91" s="23">
        <v>46000000</v>
      </c>
      <c r="Q91" s="21" t="s">
        <v>35</v>
      </c>
      <c r="R91" s="21" t="s">
        <v>36</v>
      </c>
      <c r="W91" s="21" t="s">
        <v>60</v>
      </c>
      <c r="Y91" s="21" t="s">
        <v>37</v>
      </c>
      <c r="AA91" s="25">
        <v>46191609</v>
      </c>
      <c r="AB91" s="21" t="s">
        <v>130</v>
      </c>
      <c r="AC91" s="34" t="s">
        <v>38</v>
      </c>
      <c r="AD91" s="35">
        <v>0.06</v>
      </c>
      <c r="AE91" s="27" t="s">
        <v>39</v>
      </c>
      <c r="AF91" s="28"/>
      <c r="AG91" s="21">
        <v>2300000000</v>
      </c>
      <c r="AH91" s="21" t="s">
        <v>132</v>
      </c>
      <c r="AI91" s="21" t="s">
        <v>44</v>
      </c>
      <c r="AL91" s="1" t="str">
        <f t="shared" si="2"/>
        <v>"Investering","","","46000000","","unspsc","M","","","","","A","","A010","","46191609","2300000000","False",""</v>
      </c>
    </row>
    <row r="92" spans="1:38" s="41" customFormat="1" x14ac:dyDescent="0.25">
      <c r="A92" s="39">
        <v>100</v>
      </c>
      <c r="B92" s="40" t="s">
        <v>133</v>
      </c>
      <c r="C92" s="41" t="s">
        <v>134</v>
      </c>
      <c r="F92" s="40">
        <v>14</v>
      </c>
      <c r="G92" s="40" t="s">
        <v>73</v>
      </c>
      <c r="H92" s="42"/>
      <c r="I92" s="42" t="s">
        <v>135</v>
      </c>
      <c r="J92" s="40" t="s">
        <v>33</v>
      </c>
      <c r="K92" s="40" t="s">
        <v>136</v>
      </c>
      <c r="O92" s="43">
        <v>46000000</v>
      </c>
      <c r="Q92" s="41" t="s">
        <v>35</v>
      </c>
      <c r="R92" s="41" t="s">
        <v>36</v>
      </c>
      <c r="Y92" s="41" t="s">
        <v>37</v>
      </c>
      <c r="Z92" s="40"/>
      <c r="AA92" s="44">
        <v>46191505</v>
      </c>
      <c r="AB92" s="40" t="s">
        <v>137</v>
      </c>
      <c r="AC92" s="45" t="s">
        <v>138</v>
      </c>
      <c r="AD92" s="46">
        <v>0.06</v>
      </c>
      <c r="AE92" s="47" t="s">
        <v>53</v>
      </c>
      <c r="AF92" s="48"/>
      <c r="AG92" s="40"/>
      <c r="AH92" s="40"/>
      <c r="AI92" s="40" t="s">
        <v>40</v>
      </c>
      <c r="AJ92" s="40"/>
      <c r="AK92" s="40"/>
      <c r="AL92" s="39" t="str">
        <f t="shared" si="2"/>
        <v>"Maak je keuze","","","46000000","","unspsc","M","","","","","","","A010","","46191505","","True",""</v>
      </c>
    </row>
    <row r="93" spans="1:38" s="40" customFormat="1" x14ac:dyDescent="0.25">
      <c r="A93" s="39">
        <v>100</v>
      </c>
      <c r="B93" s="41" t="s">
        <v>133</v>
      </c>
      <c r="C93" s="41" t="s">
        <v>134</v>
      </c>
      <c r="D93" s="41"/>
      <c r="E93" s="41"/>
      <c r="F93" s="41">
        <v>14</v>
      </c>
      <c r="G93" s="41" t="s">
        <v>73</v>
      </c>
      <c r="H93" s="42">
        <v>17</v>
      </c>
      <c r="I93" s="42" t="s">
        <v>135</v>
      </c>
      <c r="J93" s="41" t="s">
        <v>41</v>
      </c>
      <c r="K93" s="41"/>
      <c r="L93" s="41"/>
      <c r="M93" s="41"/>
      <c r="N93" s="41"/>
      <c r="O93" s="49">
        <v>46000000</v>
      </c>
      <c r="P93" s="41"/>
      <c r="Q93" s="41" t="s">
        <v>35</v>
      </c>
      <c r="R93" s="41" t="s">
        <v>36</v>
      </c>
      <c r="S93" s="41"/>
      <c r="T93" s="41"/>
      <c r="U93" s="41"/>
      <c r="V93" s="41"/>
      <c r="W93" s="41" t="s">
        <v>42</v>
      </c>
      <c r="X93" s="41"/>
      <c r="Y93" s="41" t="s">
        <v>37</v>
      </c>
      <c r="Z93" s="41"/>
      <c r="AA93" s="50">
        <v>46191505</v>
      </c>
      <c r="AB93" s="41" t="s">
        <v>137</v>
      </c>
      <c r="AC93" s="50" t="s">
        <v>138</v>
      </c>
      <c r="AD93" s="51">
        <v>0.06</v>
      </c>
      <c r="AE93" s="52" t="s">
        <v>53</v>
      </c>
      <c r="AF93" s="53"/>
      <c r="AG93" s="41">
        <v>6103000600</v>
      </c>
      <c r="AH93" s="41" t="s">
        <v>139</v>
      </c>
      <c r="AI93" s="41" t="s">
        <v>44</v>
      </c>
      <c r="AJ93" s="41"/>
      <c r="AK93" s="41"/>
      <c r="AL93" s="39" t="str">
        <f t="shared" si="2"/>
        <v>"Operationele werking","","","46000000","","unspsc","M","","","","","K","","A010","","46191505","6103000600","False",""</v>
      </c>
    </row>
    <row r="94" spans="1:38" s="41" customFormat="1" x14ac:dyDescent="0.25">
      <c r="A94" s="39">
        <v>100</v>
      </c>
      <c r="B94" s="41" t="s">
        <v>133</v>
      </c>
      <c r="C94" s="41" t="s">
        <v>134</v>
      </c>
      <c r="D94" s="41" t="s">
        <v>67</v>
      </c>
      <c r="F94" s="41">
        <v>14</v>
      </c>
      <c r="G94" s="41" t="s">
        <v>73</v>
      </c>
      <c r="H94" s="42">
        <v>9</v>
      </c>
      <c r="I94" s="42" t="s">
        <v>135</v>
      </c>
      <c r="J94" s="41" t="s">
        <v>59</v>
      </c>
      <c r="O94" s="49">
        <v>46000000</v>
      </c>
      <c r="Q94" s="41" t="s">
        <v>35</v>
      </c>
      <c r="R94" s="41" t="s">
        <v>36</v>
      </c>
      <c r="W94" s="41" t="s">
        <v>60</v>
      </c>
      <c r="Y94" s="41" t="s">
        <v>37</v>
      </c>
      <c r="AA94" s="50">
        <v>46191505</v>
      </c>
      <c r="AB94" s="41" t="s">
        <v>137</v>
      </c>
      <c r="AC94" s="50" t="s">
        <v>138</v>
      </c>
      <c r="AD94" s="51">
        <v>0.06</v>
      </c>
      <c r="AE94" s="52" t="s">
        <v>53</v>
      </c>
      <c r="AF94" s="53"/>
      <c r="AG94" s="41">
        <v>2231000000</v>
      </c>
      <c r="AH94" s="41" t="s">
        <v>61</v>
      </c>
      <c r="AI94" s="41" t="s">
        <v>44</v>
      </c>
      <c r="AL94" s="39" t="str">
        <f t="shared" si="2"/>
        <v>"Investering","","","46000000","","unspsc","M","","","","","A","","A010","","46191505","2231000000","False",""</v>
      </c>
    </row>
    <row r="95" spans="1:38" s="41" customFormat="1" x14ac:dyDescent="0.25">
      <c r="A95" s="39">
        <v>100</v>
      </c>
      <c r="B95" s="40" t="s">
        <v>133</v>
      </c>
      <c r="C95" s="41" t="s">
        <v>134</v>
      </c>
      <c r="F95" s="40">
        <v>14</v>
      </c>
      <c r="G95" s="40" t="s">
        <v>73</v>
      </c>
      <c r="H95" s="42"/>
      <c r="I95" s="42" t="s">
        <v>135</v>
      </c>
      <c r="J95" s="40" t="s">
        <v>33</v>
      </c>
      <c r="K95" s="40" t="s">
        <v>136</v>
      </c>
      <c r="O95" s="43">
        <v>46000000</v>
      </c>
      <c r="Q95" s="41" t="s">
        <v>35</v>
      </c>
      <c r="R95" s="41" t="s">
        <v>36</v>
      </c>
      <c r="Y95" s="41" t="s">
        <v>37</v>
      </c>
      <c r="Z95" s="40"/>
      <c r="AA95" s="44">
        <v>46171604</v>
      </c>
      <c r="AB95" s="40" t="s">
        <v>140</v>
      </c>
      <c r="AC95" s="45" t="s">
        <v>138</v>
      </c>
      <c r="AD95" s="46">
        <v>0.06</v>
      </c>
      <c r="AE95" s="47" t="s">
        <v>53</v>
      </c>
      <c r="AF95" s="48"/>
      <c r="AG95" s="40"/>
      <c r="AH95" s="40"/>
      <c r="AI95" s="40" t="s">
        <v>40</v>
      </c>
      <c r="AJ95" s="40"/>
      <c r="AK95" s="40"/>
      <c r="AL95" s="39" t="str">
        <f t="shared" si="2"/>
        <v>"Maak je keuze","","","46000000","","unspsc","M","","","","","","","A010","","46171604","","True",""</v>
      </c>
    </row>
    <row r="96" spans="1:38" s="40" customFormat="1" x14ac:dyDescent="0.25">
      <c r="A96" s="39">
        <v>100</v>
      </c>
      <c r="B96" s="41" t="s">
        <v>133</v>
      </c>
      <c r="C96" s="41" t="s">
        <v>134</v>
      </c>
      <c r="D96" s="41"/>
      <c r="E96" s="41"/>
      <c r="F96" s="41">
        <v>14</v>
      </c>
      <c r="G96" s="41" t="s">
        <v>73</v>
      </c>
      <c r="H96" s="42">
        <v>17</v>
      </c>
      <c r="I96" s="42" t="s">
        <v>135</v>
      </c>
      <c r="J96" s="41" t="s">
        <v>41</v>
      </c>
      <c r="K96" s="41"/>
      <c r="L96" s="41"/>
      <c r="M96" s="41"/>
      <c r="N96" s="41"/>
      <c r="O96" s="49">
        <v>46000000</v>
      </c>
      <c r="P96" s="41"/>
      <c r="Q96" s="41" t="s">
        <v>35</v>
      </c>
      <c r="R96" s="41" t="s">
        <v>36</v>
      </c>
      <c r="S96" s="41"/>
      <c r="T96" s="41"/>
      <c r="U96" s="41"/>
      <c r="V96" s="41"/>
      <c r="W96" s="41" t="s">
        <v>42</v>
      </c>
      <c r="X96" s="41"/>
      <c r="Y96" s="41" t="s">
        <v>37</v>
      </c>
      <c r="Z96" s="41"/>
      <c r="AA96" s="50">
        <v>46171604</v>
      </c>
      <c r="AB96" s="41" t="s">
        <v>140</v>
      </c>
      <c r="AC96" s="50" t="s">
        <v>138</v>
      </c>
      <c r="AD96" s="51">
        <v>0.06</v>
      </c>
      <c r="AE96" s="52" t="s">
        <v>53</v>
      </c>
      <c r="AF96" s="53"/>
      <c r="AG96" s="41">
        <v>6103000600</v>
      </c>
      <c r="AH96" s="41" t="s">
        <v>139</v>
      </c>
      <c r="AI96" s="41" t="s">
        <v>44</v>
      </c>
      <c r="AJ96" s="41"/>
      <c r="AK96" s="41"/>
      <c r="AL96" s="39" t="str">
        <f t="shared" si="2"/>
        <v>"Operationele werking","","","46000000","","unspsc","M","","","","","K","","A010","","46171604","6103000600","False",""</v>
      </c>
    </row>
    <row r="97" spans="1:38" s="41" customFormat="1" x14ac:dyDescent="0.25">
      <c r="A97" s="39">
        <v>100</v>
      </c>
      <c r="B97" s="41" t="s">
        <v>133</v>
      </c>
      <c r="C97" s="41" t="s">
        <v>134</v>
      </c>
      <c r="F97" s="41">
        <v>14</v>
      </c>
      <c r="G97" s="41" t="s">
        <v>73</v>
      </c>
      <c r="H97" s="42">
        <v>9</v>
      </c>
      <c r="I97" s="42" t="s">
        <v>135</v>
      </c>
      <c r="J97" s="41" t="s">
        <v>59</v>
      </c>
      <c r="O97" s="49">
        <v>46000000</v>
      </c>
      <c r="Q97" s="41" t="s">
        <v>35</v>
      </c>
      <c r="R97" s="41" t="s">
        <v>36</v>
      </c>
      <c r="W97" s="41" t="s">
        <v>60</v>
      </c>
      <c r="Y97" s="41" t="s">
        <v>37</v>
      </c>
      <c r="AA97" s="50">
        <v>46171604</v>
      </c>
      <c r="AB97" s="41" t="s">
        <v>140</v>
      </c>
      <c r="AC97" s="50" t="s">
        <v>138</v>
      </c>
      <c r="AD97" s="51">
        <v>0.06</v>
      </c>
      <c r="AE97" s="52" t="s">
        <v>53</v>
      </c>
      <c r="AF97" s="53"/>
      <c r="AG97" s="41">
        <v>2231000000</v>
      </c>
      <c r="AH97" s="41" t="s">
        <v>61</v>
      </c>
      <c r="AI97" s="41" t="s">
        <v>44</v>
      </c>
      <c r="AL97" s="39" t="str">
        <f t="shared" si="2"/>
        <v>"Investering","","","46000000","","unspsc","M","","","","","A","","A010","","46171604","2231000000","False",""</v>
      </c>
    </row>
    <row r="98" spans="1:38" x14ac:dyDescent="0.25">
      <c r="A98" s="1">
        <v>100</v>
      </c>
      <c r="B98" s="2" t="s">
        <v>133</v>
      </c>
      <c r="C98" s="1" t="s">
        <v>134</v>
      </c>
      <c r="F98" s="2">
        <v>14</v>
      </c>
      <c r="G98" s="2" t="s">
        <v>73</v>
      </c>
      <c r="J98" s="2" t="s">
        <v>33</v>
      </c>
      <c r="K98" s="2" t="s">
        <v>136</v>
      </c>
      <c r="O98" s="3">
        <v>46000000</v>
      </c>
      <c r="Q98" s="1" t="s">
        <v>35</v>
      </c>
      <c r="R98" s="1" t="s">
        <v>36</v>
      </c>
      <c r="Y98" s="1" t="s">
        <v>37</v>
      </c>
      <c r="Z98" s="2"/>
      <c r="AA98" s="4">
        <v>461915</v>
      </c>
      <c r="AB98" s="2" t="s">
        <v>137</v>
      </c>
      <c r="AC98" s="5" t="s">
        <v>91</v>
      </c>
      <c r="AD98" s="9">
        <v>0.21</v>
      </c>
      <c r="AE98" s="10" t="s">
        <v>53</v>
      </c>
      <c r="AF98" s="7"/>
      <c r="AG98" s="2"/>
      <c r="AH98" s="2"/>
      <c r="AI98" s="2" t="s">
        <v>40</v>
      </c>
      <c r="AJ98" s="2"/>
      <c r="AK98" s="2"/>
      <c r="AL98" s="1" t="str">
        <f t="shared" si="2"/>
        <v>"Maak je keuze","","","46000000","","unspsc","M","","","","","","","A010","","461915","","True",""</v>
      </c>
    </row>
    <row r="99" spans="1:38" s="2" customFormat="1" x14ac:dyDescent="0.25">
      <c r="A99" s="1">
        <v>100</v>
      </c>
      <c r="B99" s="1" t="s">
        <v>133</v>
      </c>
      <c r="C99" s="1" t="s">
        <v>134</v>
      </c>
      <c r="D99" s="1"/>
      <c r="E99" s="1"/>
      <c r="F99" s="1">
        <v>14</v>
      </c>
      <c r="G99" s="1" t="s">
        <v>73</v>
      </c>
      <c r="H99" s="8">
        <v>17</v>
      </c>
      <c r="I99" s="8"/>
      <c r="J99" s="1" t="s">
        <v>41</v>
      </c>
      <c r="K99" s="1"/>
      <c r="L99" s="1"/>
      <c r="M99" s="1"/>
      <c r="N99" s="1"/>
      <c r="O99" s="11">
        <v>46000000</v>
      </c>
      <c r="P99" s="1"/>
      <c r="Q99" s="1" t="s">
        <v>35</v>
      </c>
      <c r="R99" s="1" t="s">
        <v>36</v>
      </c>
      <c r="S99" s="1"/>
      <c r="T99" s="1"/>
      <c r="U99" s="1"/>
      <c r="V99" s="1"/>
      <c r="W99" s="1" t="s">
        <v>42</v>
      </c>
      <c r="X99" s="1"/>
      <c r="Y99" s="1" t="s">
        <v>37</v>
      </c>
      <c r="Z99" s="1"/>
      <c r="AA99" s="12">
        <v>461915</v>
      </c>
      <c r="AB99" s="1" t="s">
        <v>137</v>
      </c>
      <c r="AC99" s="12" t="s">
        <v>91</v>
      </c>
      <c r="AD99" s="13">
        <v>0.21</v>
      </c>
      <c r="AE99" s="14" t="s">
        <v>53</v>
      </c>
      <c r="AF99" s="15"/>
      <c r="AG99" s="1">
        <v>6103000600</v>
      </c>
      <c r="AH99" s="1" t="s">
        <v>139</v>
      </c>
      <c r="AI99" s="1" t="s">
        <v>44</v>
      </c>
      <c r="AJ99" s="1"/>
      <c r="AK99" s="1"/>
      <c r="AL99" s="1" t="str">
        <f t="shared" si="2"/>
        <v>"Operationele werking","","","46000000","","unspsc","M","","","","","K","","A010","","461915","6103000600","False",""</v>
      </c>
    </row>
    <row r="100" spans="1:38" x14ac:dyDescent="0.25">
      <c r="A100" s="1">
        <v>100</v>
      </c>
      <c r="B100" s="1" t="s">
        <v>133</v>
      </c>
      <c r="C100" s="1" t="s">
        <v>134</v>
      </c>
      <c r="D100" s="1" t="s">
        <v>67</v>
      </c>
      <c r="F100" s="1">
        <v>14</v>
      </c>
      <c r="G100" s="1" t="s">
        <v>73</v>
      </c>
      <c r="H100" s="8">
        <v>9</v>
      </c>
      <c r="J100" s="1" t="s">
        <v>59</v>
      </c>
      <c r="O100" s="11">
        <v>46000000</v>
      </c>
      <c r="Q100" s="1" t="s">
        <v>35</v>
      </c>
      <c r="R100" s="1" t="s">
        <v>36</v>
      </c>
      <c r="W100" s="1" t="s">
        <v>60</v>
      </c>
      <c r="Y100" s="1" t="s">
        <v>37</v>
      </c>
      <c r="AA100" s="12">
        <v>461915</v>
      </c>
      <c r="AB100" s="1" t="s">
        <v>137</v>
      </c>
      <c r="AC100" s="12" t="s">
        <v>91</v>
      </c>
      <c r="AD100" s="13">
        <v>0.21</v>
      </c>
      <c r="AE100" s="14" t="s">
        <v>53</v>
      </c>
      <c r="AF100" s="15"/>
      <c r="AG100" s="1">
        <v>2231000000</v>
      </c>
      <c r="AH100" s="1" t="s">
        <v>61</v>
      </c>
      <c r="AI100" s="1" t="s">
        <v>44</v>
      </c>
      <c r="AL100" s="1" t="str">
        <f t="shared" si="2"/>
        <v>"Investering","","","46000000","","unspsc","M","","","","","A","","A010","","461915","2231000000","False",""</v>
      </c>
    </row>
    <row r="101" spans="1:38" x14ac:dyDescent="0.25">
      <c r="A101" s="1">
        <v>100</v>
      </c>
      <c r="B101" s="2" t="s">
        <v>133</v>
      </c>
      <c r="C101" s="1" t="s">
        <v>134</v>
      </c>
      <c r="F101" s="2">
        <v>14</v>
      </c>
      <c r="G101" s="2" t="s">
        <v>73</v>
      </c>
      <c r="J101" s="2" t="s">
        <v>33</v>
      </c>
      <c r="K101" s="2" t="s">
        <v>136</v>
      </c>
      <c r="O101" s="3">
        <v>46000000</v>
      </c>
      <c r="Q101" s="1" t="s">
        <v>35</v>
      </c>
      <c r="R101" s="1" t="s">
        <v>36</v>
      </c>
      <c r="Y101" s="1" t="s">
        <v>37</v>
      </c>
      <c r="Z101" s="2"/>
      <c r="AA101" s="4">
        <v>461716</v>
      </c>
      <c r="AB101" s="2" t="s">
        <v>140</v>
      </c>
      <c r="AC101" s="5" t="s">
        <v>91</v>
      </c>
      <c r="AD101" s="9">
        <v>0.21</v>
      </c>
      <c r="AE101" s="10" t="s">
        <v>53</v>
      </c>
      <c r="AF101" s="7"/>
      <c r="AG101" s="2"/>
      <c r="AH101" s="2"/>
      <c r="AI101" s="2" t="s">
        <v>40</v>
      </c>
      <c r="AJ101" s="2"/>
      <c r="AK101" s="2"/>
      <c r="AL101" s="1" t="str">
        <f t="shared" si="2"/>
        <v>"Maak je keuze","","","46000000","","unspsc","M","","","","","","","A010","","461716","","True",""</v>
      </c>
    </row>
    <row r="102" spans="1:38" s="2" customFormat="1" x14ac:dyDescent="0.25">
      <c r="A102" s="1">
        <v>100</v>
      </c>
      <c r="B102" s="1" t="s">
        <v>133</v>
      </c>
      <c r="C102" s="1" t="s">
        <v>134</v>
      </c>
      <c r="D102" s="1"/>
      <c r="E102" s="1"/>
      <c r="F102" s="1">
        <v>14</v>
      </c>
      <c r="G102" s="1" t="s">
        <v>73</v>
      </c>
      <c r="H102" s="8">
        <v>17</v>
      </c>
      <c r="I102" s="8"/>
      <c r="J102" s="1" t="s">
        <v>41</v>
      </c>
      <c r="K102" s="1"/>
      <c r="L102" s="1"/>
      <c r="M102" s="1"/>
      <c r="N102" s="1"/>
      <c r="O102" s="11">
        <v>46000000</v>
      </c>
      <c r="P102" s="1"/>
      <c r="Q102" s="1" t="s">
        <v>35</v>
      </c>
      <c r="R102" s="1" t="s">
        <v>36</v>
      </c>
      <c r="S102" s="1"/>
      <c r="T102" s="1"/>
      <c r="U102" s="1"/>
      <c r="V102" s="1"/>
      <c r="W102" s="1" t="s">
        <v>42</v>
      </c>
      <c r="X102" s="1"/>
      <c r="Y102" s="1" t="s">
        <v>37</v>
      </c>
      <c r="Z102" s="1"/>
      <c r="AA102" s="12">
        <v>461716</v>
      </c>
      <c r="AB102" s="1" t="s">
        <v>140</v>
      </c>
      <c r="AC102" s="12" t="s">
        <v>91</v>
      </c>
      <c r="AD102" s="13">
        <v>0.21</v>
      </c>
      <c r="AE102" s="14" t="s">
        <v>53</v>
      </c>
      <c r="AF102" s="15"/>
      <c r="AG102" s="1">
        <v>6103000600</v>
      </c>
      <c r="AH102" s="1" t="s">
        <v>139</v>
      </c>
      <c r="AI102" s="1" t="s">
        <v>44</v>
      </c>
      <c r="AJ102" s="1"/>
      <c r="AK102" s="1"/>
      <c r="AL102" s="1" t="str">
        <f t="shared" si="2"/>
        <v>"Operationele werking","","","46000000","","unspsc","M","","","","","K","","A010","","461716","6103000600","False",""</v>
      </c>
    </row>
    <row r="103" spans="1:38" x14ac:dyDescent="0.25">
      <c r="A103" s="1">
        <v>100</v>
      </c>
      <c r="B103" s="1" t="s">
        <v>133</v>
      </c>
      <c r="C103" s="1" t="s">
        <v>134</v>
      </c>
      <c r="F103" s="1">
        <v>14</v>
      </c>
      <c r="G103" s="1" t="s">
        <v>73</v>
      </c>
      <c r="H103" s="8">
        <v>9</v>
      </c>
      <c r="J103" s="1" t="s">
        <v>59</v>
      </c>
      <c r="O103" s="11">
        <v>46000000</v>
      </c>
      <c r="Q103" s="1" t="s">
        <v>35</v>
      </c>
      <c r="R103" s="1" t="s">
        <v>36</v>
      </c>
      <c r="W103" s="1" t="s">
        <v>60</v>
      </c>
      <c r="Y103" s="1" t="s">
        <v>37</v>
      </c>
      <c r="AA103" s="12">
        <v>461716</v>
      </c>
      <c r="AB103" s="1" t="s">
        <v>140</v>
      </c>
      <c r="AC103" s="12" t="s">
        <v>91</v>
      </c>
      <c r="AD103" s="13">
        <v>0.21</v>
      </c>
      <c r="AE103" s="14" t="s">
        <v>53</v>
      </c>
      <c r="AF103" s="15"/>
      <c r="AG103" s="1">
        <v>2231000000</v>
      </c>
      <c r="AH103" s="1" t="s">
        <v>61</v>
      </c>
      <c r="AI103" s="1" t="s">
        <v>44</v>
      </c>
      <c r="AL103" s="1" t="str">
        <f t="shared" si="2"/>
        <v>"Investering","","","46000000","","unspsc","M","","","","","A","","A010","","461716","2231000000","False",""</v>
      </c>
    </row>
    <row r="104" spans="1:38" s="41" customFormat="1" x14ac:dyDescent="0.25">
      <c r="A104" s="39">
        <v>100</v>
      </c>
      <c r="B104" s="40" t="s">
        <v>133</v>
      </c>
      <c r="C104" s="41" t="s">
        <v>134</v>
      </c>
      <c r="F104" s="40">
        <v>14</v>
      </c>
      <c r="G104" s="40" t="s">
        <v>73</v>
      </c>
      <c r="H104" s="42"/>
      <c r="I104" s="42" t="s">
        <v>135</v>
      </c>
      <c r="J104" s="40" t="s">
        <v>33</v>
      </c>
      <c r="K104" s="40" t="s">
        <v>136</v>
      </c>
      <c r="O104" s="43">
        <v>46000000</v>
      </c>
      <c r="Q104" s="41" t="s">
        <v>35</v>
      </c>
      <c r="R104" s="41" t="s">
        <v>36</v>
      </c>
      <c r="Y104" s="41" t="s">
        <v>37</v>
      </c>
      <c r="Z104" s="40"/>
      <c r="AA104" s="44" t="s">
        <v>141</v>
      </c>
      <c r="AB104" s="40" t="s">
        <v>142</v>
      </c>
      <c r="AC104" s="45" t="s">
        <v>138</v>
      </c>
      <c r="AD104" s="46">
        <v>0.06</v>
      </c>
      <c r="AE104" s="47" t="s">
        <v>53</v>
      </c>
      <c r="AF104" s="48"/>
      <c r="AG104" s="40"/>
      <c r="AH104" s="40"/>
      <c r="AI104" s="40" t="s">
        <v>40</v>
      </c>
      <c r="AJ104" s="40"/>
      <c r="AK104" s="40"/>
      <c r="AL104" s="39" t="str">
        <f t="shared" si="2"/>
        <v>"Maak je keuze","","","46000000","","unspsc","M","","","","","","","A010","","46171619A","","True",""</v>
      </c>
    </row>
    <row r="105" spans="1:38" s="40" customFormat="1" x14ac:dyDescent="0.25">
      <c r="A105" s="39">
        <v>100</v>
      </c>
      <c r="B105" s="41" t="s">
        <v>133</v>
      </c>
      <c r="C105" s="41" t="s">
        <v>134</v>
      </c>
      <c r="D105" s="41"/>
      <c r="E105" s="41"/>
      <c r="F105" s="41">
        <v>14</v>
      </c>
      <c r="G105" s="41" t="s">
        <v>73</v>
      </c>
      <c r="H105" s="42">
        <v>17</v>
      </c>
      <c r="I105" s="42" t="s">
        <v>135</v>
      </c>
      <c r="J105" s="41" t="s">
        <v>41</v>
      </c>
      <c r="K105" s="41"/>
      <c r="L105" s="41"/>
      <c r="M105" s="41"/>
      <c r="N105" s="41"/>
      <c r="O105" s="49">
        <v>46000000</v>
      </c>
      <c r="P105" s="41"/>
      <c r="Q105" s="41" t="s">
        <v>35</v>
      </c>
      <c r="R105" s="41" t="s">
        <v>36</v>
      </c>
      <c r="S105" s="41"/>
      <c r="T105" s="41"/>
      <c r="U105" s="41"/>
      <c r="V105" s="41"/>
      <c r="W105" s="41" t="s">
        <v>42</v>
      </c>
      <c r="X105" s="41"/>
      <c r="Y105" s="41" t="s">
        <v>37</v>
      </c>
      <c r="Z105" s="41"/>
      <c r="AA105" s="50" t="s">
        <v>141</v>
      </c>
      <c r="AB105" s="41" t="s">
        <v>142</v>
      </c>
      <c r="AC105" s="50" t="s">
        <v>138</v>
      </c>
      <c r="AD105" s="51">
        <v>0.06</v>
      </c>
      <c r="AE105" s="52" t="s">
        <v>53</v>
      </c>
      <c r="AF105" s="53"/>
      <c r="AG105" s="41">
        <v>6103000600</v>
      </c>
      <c r="AH105" s="41" t="s">
        <v>139</v>
      </c>
      <c r="AI105" s="41" t="s">
        <v>44</v>
      </c>
      <c r="AJ105" s="41"/>
      <c r="AK105" s="41"/>
      <c r="AL105" s="39" t="str">
        <f t="shared" si="2"/>
        <v>"Operationele werking","","","46000000","","unspsc","M","","","","","K","","A010","","46171619A","6103000600","False",""</v>
      </c>
    </row>
    <row r="106" spans="1:38" s="41" customFormat="1" x14ac:dyDescent="0.25">
      <c r="A106" s="39">
        <v>100</v>
      </c>
      <c r="B106" s="41" t="s">
        <v>133</v>
      </c>
      <c r="C106" s="41" t="s">
        <v>134</v>
      </c>
      <c r="F106" s="41">
        <v>14</v>
      </c>
      <c r="G106" s="41" t="s">
        <v>73</v>
      </c>
      <c r="H106" s="42">
        <v>9</v>
      </c>
      <c r="I106" s="42" t="s">
        <v>135</v>
      </c>
      <c r="J106" s="41" t="s">
        <v>59</v>
      </c>
      <c r="O106" s="49">
        <v>46000000</v>
      </c>
      <c r="Q106" s="41" t="s">
        <v>35</v>
      </c>
      <c r="R106" s="41" t="s">
        <v>36</v>
      </c>
      <c r="W106" s="41" t="s">
        <v>60</v>
      </c>
      <c r="Y106" s="41" t="s">
        <v>37</v>
      </c>
      <c r="AA106" s="50" t="s">
        <v>141</v>
      </c>
      <c r="AB106" s="41" t="s">
        <v>142</v>
      </c>
      <c r="AC106" s="50" t="s">
        <v>138</v>
      </c>
      <c r="AD106" s="51">
        <v>0.06</v>
      </c>
      <c r="AE106" s="52" t="s">
        <v>53</v>
      </c>
      <c r="AF106" s="53"/>
      <c r="AG106" s="41">
        <v>2231000000</v>
      </c>
      <c r="AH106" s="41" t="s">
        <v>61</v>
      </c>
      <c r="AI106" s="41" t="s">
        <v>44</v>
      </c>
      <c r="AL106" s="39" t="str">
        <f t="shared" si="2"/>
        <v>"Investering","","","46000000","","unspsc","M","","","","","A","","A010","","46171619A","2231000000","False",""</v>
      </c>
    </row>
    <row r="107" spans="1:38" x14ac:dyDescent="0.25">
      <c r="A107" s="1">
        <v>100</v>
      </c>
      <c r="B107" s="2" t="s">
        <v>133</v>
      </c>
      <c r="C107" s="1" t="s">
        <v>134</v>
      </c>
      <c r="F107" s="2">
        <v>14</v>
      </c>
      <c r="G107" s="2" t="s">
        <v>73</v>
      </c>
      <c r="J107" s="2" t="s">
        <v>33</v>
      </c>
      <c r="K107" s="2" t="s">
        <v>136</v>
      </c>
      <c r="O107" s="3">
        <v>46000000</v>
      </c>
      <c r="Q107" s="1" t="s">
        <v>35</v>
      </c>
      <c r="R107" s="1" t="s">
        <v>36</v>
      </c>
      <c r="Y107" s="1" t="s">
        <v>37</v>
      </c>
      <c r="Z107" s="2"/>
      <c r="AA107" s="4">
        <v>46171619</v>
      </c>
      <c r="AB107" s="2" t="s">
        <v>142</v>
      </c>
      <c r="AC107" s="5" t="s">
        <v>91</v>
      </c>
      <c r="AD107" s="9">
        <v>0.21</v>
      </c>
      <c r="AE107" s="10" t="s">
        <v>53</v>
      </c>
      <c r="AF107" s="7"/>
      <c r="AG107" s="2"/>
      <c r="AH107" s="2"/>
      <c r="AI107" s="2" t="s">
        <v>40</v>
      </c>
      <c r="AJ107" s="2"/>
      <c r="AK107" s="2"/>
      <c r="AL107" s="1" t="str">
        <f t="shared" si="2"/>
        <v>"Maak je keuze","","","46000000","","unspsc","M","","","","","","","A010","","46171619","","True",""</v>
      </c>
    </row>
    <row r="108" spans="1:38" s="2" customFormat="1" x14ac:dyDescent="0.25">
      <c r="A108" s="1">
        <v>100</v>
      </c>
      <c r="B108" s="1" t="s">
        <v>133</v>
      </c>
      <c r="C108" s="1" t="s">
        <v>134</v>
      </c>
      <c r="D108" s="1"/>
      <c r="E108" s="1"/>
      <c r="F108" s="1">
        <v>14</v>
      </c>
      <c r="G108" s="1" t="s">
        <v>73</v>
      </c>
      <c r="H108" s="8">
        <v>17</v>
      </c>
      <c r="I108" s="8"/>
      <c r="J108" s="1" t="s">
        <v>41</v>
      </c>
      <c r="K108" s="1"/>
      <c r="L108" s="1"/>
      <c r="M108" s="1"/>
      <c r="N108" s="1"/>
      <c r="O108" s="11">
        <v>46000000</v>
      </c>
      <c r="P108" s="1"/>
      <c r="Q108" s="1" t="s">
        <v>35</v>
      </c>
      <c r="R108" s="1" t="s">
        <v>36</v>
      </c>
      <c r="S108" s="1"/>
      <c r="T108" s="1"/>
      <c r="U108" s="1"/>
      <c r="V108" s="1"/>
      <c r="W108" s="1" t="s">
        <v>42</v>
      </c>
      <c r="X108" s="1"/>
      <c r="Y108" s="1" t="s">
        <v>37</v>
      </c>
      <c r="Z108" s="1"/>
      <c r="AA108" s="12">
        <v>46171619</v>
      </c>
      <c r="AB108" s="1" t="s">
        <v>142</v>
      </c>
      <c r="AC108" s="12" t="s">
        <v>91</v>
      </c>
      <c r="AD108" s="13">
        <v>0.21</v>
      </c>
      <c r="AE108" s="14" t="s">
        <v>53</v>
      </c>
      <c r="AF108" s="15"/>
      <c r="AG108" s="1">
        <v>6103000600</v>
      </c>
      <c r="AH108" s="1" t="s">
        <v>139</v>
      </c>
      <c r="AI108" s="1" t="s">
        <v>44</v>
      </c>
      <c r="AJ108" s="1"/>
      <c r="AK108" s="1"/>
      <c r="AL108" s="1" t="str">
        <f t="shared" si="2"/>
        <v>"Operationele werking","","","46000000","","unspsc","M","","","","","K","","A010","","46171619","6103000600","False",""</v>
      </c>
    </row>
    <row r="109" spans="1:38" x14ac:dyDescent="0.25">
      <c r="A109" s="1">
        <v>100</v>
      </c>
      <c r="B109" s="1" t="s">
        <v>133</v>
      </c>
      <c r="C109" s="1" t="s">
        <v>134</v>
      </c>
      <c r="F109" s="1">
        <v>14</v>
      </c>
      <c r="G109" s="1" t="s">
        <v>73</v>
      </c>
      <c r="H109" s="8">
        <v>9</v>
      </c>
      <c r="J109" s="1" t="s">
        <v>59</v>
      </c>
      <c r="O109" s="11">
        <v>46000000</v>
      </c>
      <c r="Q109" s="1" t="s">
        <v>35</v>
      </c>
      <c r="R109" s="1" t="s">
        <v>36</v>
      </c>
      <c r="W109" s="1" t="s">
        <v>60</v>
      </c>
      <c r="Y109" s="1" t="s">
        <v>37</v>
      </c>
      <c r="AA109" s="12">
        <v>46171619</v>
      </c>
      <c r="AB109" s="1" t="s">
        <v>142</v>
      </c>
      <c r="AC109" s="12" t="s">
        <v>91</v>
      </c>
      <c r="AD109" s="13">
        <v>0.21</v>
      </c>
      <c r="AE109" s="14" t="s">
        <v>53</v>
      </c>
      <c r="AF109" s="15"/>
      <c r="AG109" s="1">
        <v>2231000000</v>
      </c>
      <c r="AH109" s="1" t="s">
        <v>61</v>
      </c>
      <c r="AI109" s="1" t="s">
        <v>44</v>
      </c>
      <c r="AL109" s="1" t="str">
        <f t="shared" si="2"/>
        <v>"Investering","","","46000000","","unspsc","M","","","","","A","","A010","","46171619","2231000000","False",""</v>
      </c>
    </row>
    <row r="110" spans="1:38" x14ac:dyDescent="0.25">
      <c r="A110" s="1">
        <v>100</v>
      </c>
      <c r="B110" s="2"/>
      <c r="C110" s="1" t="s">
        <v>31</v>
      </c>
      <c r="F110" s="2">
        <v>14</v>
      </c>
      <c r="G110" s="2" t="s">
        <v>73</v>
      </c>
      <c r="J110" s="2" t="s">
        <v>33</v>
      </c>
      <c r="K110" s="2"/>
      <c r="O110" s="3">
        <v>47000000</v>
      </c>
      <c r="Q110" s="1" t="s">
        <v>35</v>
      </c>
      <c r="R110" s="1" t="s">
        <v>36</v>
      </c>
      <c r="Y110" s="1" t="s">
        <v>37</v>
      </c>
      <c r="Z110" s="2"/>
      <c r="AA110" s="4">
        <v>4713</v>
      </c>
      <c r="AB110" s="2" t="s">
        <v>143</v>
      </c>
      <c r="AC110" s="5" t="s">
        <v>65</v>
      </c>
      <c r="AD110" s="9">
        <v>0.21</v>
      </c>
      <c r="AE110" s="10" t="s">
        <v>39</v>
      </c>
      <c r="AF110" s="7"/>
      <c r="AG110" s="2"/>
      <c r="AH110" s="2"/>
      <c r="AI110" s="2" t="s">
        <v>40</v>
      </c>
      <c r="AJ110" s="2"/>
      <c r="AK110" s="2"/>
      <c r="AL110" s="1" t="str">
        <f t="shared" si="2"/>
        <v>"Maak je keuze","","","47000000","","unspsc","M","","","","","","","A010","","4713","","True",""</v>
      </c>
    </row>
    <row r="111" spans="1:38" s="2" customFormat="1" x14ac:dyDescent="0.25">
      <c r="A111" s="1">
        <v>100</v>
      </c>
      <c r="B111" s="1"/>
      <c r="C111" s="1" t="s">
        <v>31</v>
      </c>
      <c r="D111" s="1" t="s">
        <v>79</v>
      </c>
      <c r="E111" s="1"/>
      <c r="F111" s="1">
        <v>14</v>
      </c>
      <c r="G111" s="1" t="s">
        <v>73</v>
      </c>
      <c r="H111" s="8">
        <v>17</v>
      </c>
      <c r="I111" s="8"/>
      <c r="J111" s="1" t="s">
        <v>41</v>
      </c>
      <c r="K111" s="1"/>
      <c r="L111" s="1"/>
      <c r="M111" s="1"/>
      <c r="N111" s="1"/>
      <c r="O111" s="11">
        <v>47000000</v>
      </c>
      <c r="P111" s="1"/>
      <c r="Q111" s="1" t="s">
        <v>35</v>
      </c>
      <c r="R111" s="1" t="s">
        <v>36</v>
      </c>
      <c r="S111" s="1"/>
      <c r="T111" s="1"/>
      <c r="U111" s="1"/>
      <c r="V111" s="1"/>
      <c r="W111" s="1" t="s">
        <v>42</v>
      </c>
      <c r="X111" s="1"/>
      <c r="Y111" s="1" t="s">
        <v>37</v>
      </c>
      <c r="Z111" s="1"/>
      <c r="AA111" s="12">
        <v>4713</v>
      </c>
      <c r="AB111" s="1" t="s">
        <v>143</v>
      </c>
      <c r="AC111" s="12" t="s">
        <v>65</v>
      </c>
      <c r="AD111" s="13">
        <v>0.21</v>
      </c>
      <c r="AE111" s="14" t="s">
        <v>39</v>
      </c>
      <c r="AF111" s="15"/>
      <c r="AG111" s="1">
        <v>6145000100</v>
      </c>
      <c r="AH111" s="1" t="s">
        <v>144</v>
      </c>
      <c r="AI111" s="1" t="s">
        <v>44</v>
      </c>
      <c r="AJ111" s="1"/>
      <c r="AK111" s="1"/>
      <c r="AL111" s="1" t="str">
        <f t="shared" si="2"/>
        <v>"Operationele werking","","","47000000","","unspsc","M","","","","","K","","A010","","4713","6145000100","False",""</v>
      </c>
    </row>
    <row r="112" spans="1:38" x14ac:dyDescent="0.25">
      <c r="A112" s="1">
        <v>100</v>
      </c>
      <c r="B112" s="1" t="s">
        <v>145</v>
      </c>
      <c r="C112" s="1" t="s">
        <v>31</v>
      </c>
      <c r="D112" s="1" t="s">
        <v>79</v>
      </c>
      <c r="F112" s="1">
        <v>14</v>
      </c>
      <c r="G112" s="1" t="s">
        <v>73</v>
      </c>
      <c r="H112" s="8">
        <v>9</v>
      </c>
      <c r="J112" s="1" t="s">
        <v>59</v>
      </c>
      <c r="O112" s="11">
        <v>47000000</v>
      </c>
      <c r="Q112" s="1" t="s">
        <v>35</v>
      </c>
      <c r="R112" s="1" t="s">
        <v>36</v>
      </c>
      <c r="W112" s="1" t="s">
        <v>60</v>
      </c>
      <c r="Y112" s="1" t="s">
        <v>37</v>
      </c>
      <c r="AA112" s="12">
        <v>4713</v>
      </c>
      <c r="AB112" s="1" t="s">
        <v>143</v>
      </c>
      <c r="AC112" s="12" t="s">
        <v>65</v>
      </c>
      <c r="AD112" s="13">
        <v>0.21</v>
      </c>
      <c r="AE112" s="14" t="s">
        <v>39</v>
      </c>
      <c r="AF112" s="15"/>
      <c r="AG112" s="1">
        <v>2301000000</v>
      </c>
      <c r="AH112" s="1" t="s">
        <v>76</v>
      </c>
      <c r="AI112" s="1" t="s">
        <v>44</v>
      </c>
      <c r="AL112" s="1" t="str">
        <f t="shared" si="2"/>
        <v>"Investering","","","47000000","","unspsc","M","","","","","A","","A010","","4713","2301000000","False",""</v>
      </c>
    </row>
    <row r="113" spans="1:38" x14ac:dyDescent="0.25">
      <c r="A113" s="1">
        <v>100</v>
      </c>
      <c r="B113" s="2"/>
      <c r="C113" s="1" t="s">
        <v>31</v>
      </c>
      <c r="F113" s="2">
        <v>2</v>
      </c>
      <c r="G113" s="2" t="s">
        <v>105</v>
      </c>
      <c r="J113" s="2" t="s">
        <v>33</v>
      </c>
      <c r="K113" s="2" t="s">
        <v>146</v>
      </c>
      <c r="O113" s="3">
        <v>48000000</v>
      </c>
      <c r="Q113" s="1" t="s">
        <v>35</v>
      </c>
      <c r="R113" s="1" t="s">
        <v>36</v>
      </c>
      <c r="Y113" s="1" t="s">
        <v>37</v>
      </c>
      <c r="Z113" s="2"/>
      <c r="AA113" s="4">
        <v>481018</v>
      </c>
      <c r="AB113" s="2" t="s">
        <v>147</v>
      </c>
      <c r="AC113" s="5" t="s">
        <v>65</v>
      </c>
      <c r="AD113" s="9">
        <v>0.21</v>
      </c>
      <c r="AE113" s="10" t="s">
        <v>39</v>
      </c>
      <c r="AF113" s="7"/>
      <c r="AG113" s="2"/>
      <c r="AH113" s="2"/>
      <c r="AI113" s="2" t="s">
        <v>40</v>
      </c>
      <c r="AJ113" s="2"/>
      <c r="AK113" s="2"/>
      <c r="AL113" s="1" t="str">
        <f t="shared" si="2"/>
        <v>"Maak je keuze","","","48000000","","unspsc","M","","","","","","","A010","","481018","","True",""</v>
      </c>
    </row>
    <row r="114" spans="1:38" x14ac:dyDescent="0.25">
      <c r="A114" s="1">
        <v>100</v>
      </c>
      <c r="C114" s="1" t="s">
        <v>31</v>
      </c>
      <c r="F114" s="1">
        <v>2</v>
      </c>
      <c r="G114" s="1" t="s">
        <v>105</v>
      </c>
      <c r="H114" s="8">
        <v>17</v>
      </c>
      <c r="J114" s="1" t="s">
        <v>41</v>
      </c>
      <c r="K114" s="1" t="s">
        <v>146</v>
      </c>
      <c r="O114" s="54">
        <v>48000000</v>
      </c>
      <c r="Q114" s="1" t="s">
        <v>35</v>
      </c>
      <c r="R114" s="1" t="s">
        <v>36</v>
      </c>
      <c r="W114" s="1" t="s">
        <v>42</v>
      </c>
      <c r="Y114" s="1" t="s">
        <v>37</v>
      </c>
      <c r="AA114" s="12">
        <v>481018</v>
      </c>
      <c r="AB114" s="1" t="s">
        <v>147</v>
      </c>
      <c r="AC114" s="12" t="s">
        <v>65</v>
      </c>
      <c r="AD114" s="13">
        <v>0.21</v>
      </c>
      <c r="AE114" s="14" t="s">
        <v>39</v>
      </c>
      <c r="AF114" s="15"/>
      <c r="AG114" s="1">
        <v>6141100100</v>
      </c>
      <c r="AH114" s="1" t="s">
        <v>66</v>
      </c>
      <c r="AI114" s="1" t="s">
        <v>44</v>
      </c>
      <c r="AL114" s="1" t="str">
        <f t="shared" si="2"/>
        <v>"Operationele werking","","","48000000","","unspsc","M","","","","","K","","A010","","481018","6141100100","False",""</v>
      </c>
    </row>
    <row r="115" spans="1:38" s="2" customFormat="1" x14ac:dyDescent="0.25">
      <c r="A115" s="1">
        <v>100</v>
      </c>
      <c r="B115" s="1"/>
      <c r="C115" s="1" t="s">
        <v>31</v>
      </c>
      <c r="D115" s="1"/>
      <c r="E115" s="1"/>
      <c r="F115" s="1">
        <v>2</v>
      </c>
      <c r="G115" s="1" t="s">
        <v>105</v>
      </c>
      <c r="H115" s="8">
        <v>3</v>
      </c>
      <c r="I115" s="8"/>
      <c r="J115" s="1" t="s">
        <v>45</v>
      </c>
      <c r="K115" s="1" t="s">
        <v>146</v>
      </c>
      <c r="L115" s="1"/>
      <c r="M115" s="1"/>
      <c r="N115" s="1"/>
      <c r="O115" s="54">
        <v>48000000</v>
      </c>
      <c r="P115" s="1"/>
      <c r="Q115" s="1" t="s">
        <v>35</v>
      </c>
      <c r="R115" s="1" t="s">
        <v>36</v>
      </c>
      <c r="S115" s="1"/>
      <c r="T115" s="1"/>
      <c r="U115" s="1"/>
      <c r="V115" s="1"/>
      <c r="W115" s="1" t="s">
        <v>42</v>
      </c>
      <c r="X115" s="1"/>
      <c r="Y115" s="1" t="s">
        <v>37</v>
      </c>
      <c r="Z115" s="1"/>
      <c r="AA115" s="12">
        <v>481018</v>
      </c>
      <c r="AB115" s="1" t="s">
        <v>147</v>
      </c>
      <c r="AC115" s="12" t="s">
        <v>65</v>
      </c>
      <c r="AD115" s="13">
        <v>0.21</v>
      </c>
      <c r="AE115" s="14" t="s">
        <v>39</v>
      </c>
      <c r="AF115" s="15"/>
      <c r="AG115" s="1">
        <v>6161000200</v>
      </c>
      <c r="AH115" s="1" t="s">
        <v>45</v>
      </c>
      <c r="AI115" s="1" t="s">
        <v>44</v>
      </c>
      <c r="AJ115" s="1"/>
      <c r="AK115" s="1"/>
      <c r="AL115" s="1" t="str">
        <f t="shared" si="2"/>
        <v>"Didactisch materiaal","","","48000000","","unspsc","M","","","","","K","","A010","","481018","6161000200","False",""</v>
      </c>
    </row>
    <row r="116" spans="1:38" x14ac:dyDescent="0.25">
      <c r="A116" s="1">
        <v>100</v>
      </c>
      <c r="B116" s="2"/>
      <c r="C116" s="1" t="s">
        <v>31</v>
      </c>
      <c r="F116" s="2">
        <v>3</v>
      </c>
      <c r="G116" s="2" t="s">
        <v>148</v>
      </c>
      <c r="J116" s="2" t="s">
        <v>33</v>
      </c>
      <c r="K116" s="2" t="s">
        <v>149</v>
      </c>
      <c r="O116" s="3">
        <v>49000000</v>
      </c>
      <c r="Q116" s="1" t="s">
        <v>35</v>
      </c>
      <c r="R116" s="1" t="s">
        <v>36</v>
      </c>
      <c r="Y116" s="1" t="s">
        <v>37</v>
      </c>
      <c r="Z116" s="2"/>
      <c r="AA116" s="4">
        <v>4924</v>
      </c>
      <c r="AB116" s="2" t="s">
        <v>150</v>
      </c>
      <c r="AC116" s="5" t="s">
        <v>38</v>
      </c>
      <c r="AD116" s="9">
        <v>0.06</v>
      </c>
      <c r="AE116" s="10" t="s">
        <v>39</v>
      </c>
      <c r="AF116" s="7"/>
      <c r="AG116" s="2"/>
      <c r="AH116" s="2"/>
      <c r="AI116" s="2" t="s">
        <v>40</v>
      </c>
      <c r="AJ116" s="2"/>
      <c r="AK116" s="2"/>
      <c r="AL116" s="1" t="str">
        <f t="shared" si="2"/>
        <v>"Maak je keuze","","","49000000","","unspsc","M","","","","","","","A010","","4924","","True",""</v>
      </c>
    </row>
    <row r="117" spans="1:38" s="2" customFormat="1" x14ac:dyDescent="0.25">
      <c r="A117" s="1">
        <v>100</v>
      </c>
      <c r="B117" s="1"/>
      <c r="C117" s="1" t="s">
        <v>31</v>
      </c>
      <c r="D117" s="1"/>
      <c r="E117" s="1"/>
      <c r="F117" s="1">
        <v>3</v>
      </c>
      <c r="G117" s="1" t="s">
        <v>148</v>
      </c>
      <c r="H117" s="8">
        <v>3</v>
      </c>
      <c r="I117" s="8"/>
      <c r="J117" s="1" t="s">
        <v>45</v>
      </c>
      <c r="K117" s="1" t="s">
        <v>151</v>
      </c>
      <c r="L117" s="1"/>
      <c r="M117" s="1"/>
      <c r="N117" s="1"/>
      <c r="O117" s="11">
        <v>49000000</v>
      </c>
      <c r="P117" s="1"/>
      <c r="Q117" s="1" t="s">
        <v>35</v>
      </c>
      <c r="R117" s="1" t="s">
        <v>36</v>
      </c>
      <c r="S117" s="1"/>
      <c r="T117" s="1"/>
      <c r="U117" s="1"/>
      <c r="V117" s="1"/>
      <c r="W117" s="1" t="s">
        <v>42</v>
      </c>
      <c r="X117" s="1"/>
      <c r="Y117" s="1" t="s">
        <v>37</v>
      </c>
      <c r="Z117" s="1"/>
      <c r="AA117" s="12">
        <v>4924</v>
      </c>
      <c r="AB117" s="1" t="s">
        <v>150</v>
      </c>
      <c r="AC117" s="12" t="s">
        <v>38</v>
      </c>
      <c r="AD117" s="13">
        <v>0.06</v>
      </c>
      <c r="AE117" s="14" t="s">
        <v>39</v>
      </c>
      <c r="AF117" s="15"/>
      <c r="AG117" s="1">
        <v>6161000200</v>
      </c>
      <c r="AH117" s="1" t="s">
        <v>45</v>
      </c>
      <c r="AI117" s="1" t="s">
        <v>44</v>
      </c>
      <c r="AJ117" s="1"/>
      <c r="AK117" s="1"/>
      <c r="AL117" s="1" t="str">
        <f t="shared" si="2"/>
        <v>"Didactisch materiaal","","","49000000","","unspsc","M","","","","","K","","A010","","4924","6161000200","False",""</v>
      </c>
    </row>
    <row r="118" spans="1:38" x14ac:dyDescent="0.25">
      <c r="A118" s="1">
        <v>100</v>
      </c>
      <c r="C118" s="1" t="s">
        <v>31</v>
      </c>
      <c r="F118" s="1">
        <v>3</v>
      </c>
      <c r="G118" s="1" t="s">
        <v>148</v>
      </c>
      <c r="H118" s="8">
        <v>9</v>
      </c>
      <c r="J118" s="1" t="s">
        <v>59</v>
      </c>
      <c r="K118" s="1" t="s">
        <v>151</v>
      </c>
      <c r="O118" s="11">
        <v>49000000</v>
      </c>
      <c r="Q118" s="1" t="s">
        <v>35</v>
      </c>
      <c r="R118" s="1" t="s">
        <v>36</v>
      </c>
      <c r="W118" s="1" t="s">
        <v>60</v>
      </c>
      <c r="Y118" s="1" t="s">
        <v>37</v>
      </c>
      <c r="AA118" s="12">
        <v>4924</v>
      </c>
      <c r="AB118" s="1" t="s">
        <v>150</v>
      </c>
      <c r="AC118" s="12" t="s">
        <v>38</v>
      </c>
      <c r="AD118" s="13">
        <v>0.06</v>
      </c>
      <c r="AE118" s="14" t="s">
        <v>39</v>
      </c>
      <c r="AF118" s="15"/>
      <c r="AG118" s="11">
        <v>2406000000</v>
      </c>
      <c r="AH118" s="1" t="s">
        <v>152</v>
      </c>
      <c r="AI118" s="1" t="s">
        <v>44</v>
      </c>
      <c r="AL118" s="1" t="str">
        <f t="shared" si="2"/>
        <v>"Investering","","","49000000","","unspsc","M","","","","","A","","A010","","4924","2406000000","False",""</v>
      </c>
    </row>
    <row r="119" spans="1:38" x14ac:dyDescent="0.25">
      <c r="A119" s="1">
        <v>100</v>
      </c>
      <c r="B119" s="2"/>
      <c r="C119" s="1" t="s">
        <v>31</v>
      </c>
      <c r="F119" s="2">
        <v>3</v>
      </c>
      <c r="G119" s="2" t="s">
        <v>148</v>
      </c>
      <c r="J119" s="2" t="s">
        <v>33</v>
      </c>
      <c r="K119" s="2" t="s">
        <v>153</v>
      </c>
      <c r="O119" s="3">
        <v>49000000</v>
      </c>
      <c r="Q119" s="1" t="s">
        <v>35</v>
      </c>
      <c r="R119" s="1" t="s">
        <v>36</v>
      </c>
      <c r="Y119" s="1" t="s">
        <v>37</v>
      </c>
      <c r="Z119" s="2"/>
      <c r="AA119" s="4">
        <v>4922</v>
      </c>
      <c r="AB119" s="2" t="s">
        <v>154</v>
      </c>
      <c r="AC119" s="5" t="s">
        <v>65</v>
      </c>
      <c r="AD119" s="9">
        <v>0.21</v>
      </c>
      <c r="AE119" s="10" t="s">
        <v>39</v>
      </c>
      <c r="AF119" s="7"/>
      <c r="AG119" s="2"/>
      <c r="AH119" s="2"/>
      <c r="AI119" s="2" t="s">
        <v>40</v>
      </c>
      <c r="AJ119" s="2"/>
      <c r="AK119" s="2"/>
      <c r="AL119" s="1" t="str">
        <f t="shared" si="2"/>
        <v>"Maak je keuze","","","49000000","","unspsc","M","","","","","","","A010","","4922","","True",""</v>
      </c>
    </row>
    <row r="120" spans="1:38" x14ac:dyDescent="0.25">
      <c r="A120" s="1">
        <v>100</v>
      </c>
      <c r="C120" s="1" t="s">
        <v>31</v>
      </c>
      <c r="F120" s="1">
        <v>3</v>
      </c>
      <c r="G120" s="1" t="s">
        <v>148</v>
      </c>
      <c r="H120" s="8">
        <v>3</v>
      </c>
      <c r="J120" s="1" t="s">
        <v>45</v>
      </c>
      <c r="K120" s="1" t="s">
        <v>153</v>
      </c>
      <c r="O120" s="11">
        <v>49000000</v>
      </c>
      <c r="Q120" s="1" t="s">
        <v>35</v>
      </c>
      <c r="R120" s="1" t="s">
        <v>36</v>
      </c>
      <c r="W120" s="1" t="s">
        <v>42</v>
      </c>
      <c r="Y120" s="1" t="s">
        <v>37</v>
      </c>
      <c r="AA120" s="12">
        <v>4922</v>
      </c>
      <c r="AB120" s="1" t="s">
        <v>154</v>
      </c>
      <c r="AC120" s="12" t="s">
        <v>65</v>
      </c>
      <c r="AD120" s="13">
        <v>0.21</v>
      </c>
      <c r="AE120" s="14" t="s">
        <v>39</v>
      </c>
      <c r="AF120" s="15"/>
      <c r="AG120" s="1">
        <v>6161000200</v>
      </c>
      <c r="AH120" s="1" t="s">
        <v>45</v>
      </c>
      <c r="AI120" s="1" t="s">
        <v>44</v>
      </c>
      <c r="AL120" s="1" t="str">
        <f t="shared" si="2"/>
        <v>"Didactisch materiaal","","","49000000","","unspsc","M","","","","","K","","A010","","4922","6161000200","False",""</v>
      </c>
    </row>
    <row r="121" spans="1:38" s="2" customFormat="1" x14ac:dyDescent="0.25">
      <c r="A121" s="1">
        <v>100</v>
      </c>
      <c r="B121" s="1"/>
      <c r="C121" s="1" t="s">
        <v>31</v>
      </c>
      <c r="D121" s="1"/>
      <c r="E121" s="1"/>
      <c r="F121" s="1">
        <v>3</v>
      </c>
      <c r="G121" s="1" t="s">
        <v>148</v>
      </c>
      <c r="H121" s="8">
        <v>9</v>
      </c>
      <c r="I121" s="8"/>
      <c r="J121" s="1" t="s">
        <v>59</v>
      </c>
      <c r="K121" s="1" t="s">
        <v>153</v>
      </c>
      <c r="L121" s="1"/>
      <c r="M121" s="1"/>
      <c r="N121" s="1"/>
      <c r="O121" s="11">
        <v>49000000</v>
      </c>
      <c r="P121" s="1"/>
      <c r="Q121" s="1" t="s">
        <v>35</v>
      </c>
      <c r="R121" s="1" t="s">
        <v>36</v>
      </c>
      <c r="S121" s="1"/>
      <c r="T121" s="1"/>
      <c r="U121" s="1"/>
      <c r="V121" s="1"/>
      <c r="W121" s="1" t="s">
        <v>60</v>
      </c>
      <c r="X121" s="1"/>
      <c r="Y121" s="1" t="s">
        <v>37</v>
      </c>
      <c r="Z121" s="1"/>
      <c r="AA121" s="12">
        <v>4922</v>
      </c>
      <c r="AB121" s="1" t="s">
        <v>154</v>
      </c>
      <c r="AC121" s="12" t="s">
        <v>65</v>
      </c>
      <c r="AD121" s="13">
        <v>0.21</v>
      </c>
      <c r="AE121" s="14" t="s">
        <v>39</v>
      </c>
      <c r="AF121" s="15"/>
      <c r="AG121" s="11">
        <v>2302000000</v>
      </c>
      <c r="AH121" s="1" t="s">
        <v>125</v>
      </c>
      <c r="AI121" s="1" t="s">
        <v>44</v>
      </c>
      <c r="AJ121" s="1"/>
      <c r="AK121" s="1"/>
      <c r="AL121" s="1" t="str">
        <f t="shared" si="2"/>
        <v>"Investering","","","49000000","","unspsc","M","","","","","A","","A010","","4922","2302000000","False",""</v>
      </c>
    </row>
    <row r="122" spans="1:38" x14ac:dyDescent="0.25">
      <c r="A122" s="1">
        <v>100</v>
      </c>
      <c r="B122" s="2"/>
      <c r="C122" s="1" t="s">
        <v>31</v>
      </c>
      <c r="F122" s="2">
        <v>3</v>
      </c>
      <c r="G122" s="2" t="s">
        <v>148</v>
      </c>
      <c r="J122" s="2" t="s">
        <v>33</v>
      </c>
      <c r="K122" s="2" t="s">
        <v>153</v>
      </c>
      <c r="O122" s="3">
        <v>49000000</v>
      </c>
      <c r="Q122" s="1" t="s">
        <v>35</v>
      </c>
      <c r="R122" s="1" t="s">
        <v>36</v>
      </c>
      <c r="Y122" s="1" t="s">
        <v>37</v>
      </c>
      <c r="Z122" s="2"/>
      <c r="AA122" s="4">
        <v>4917</v>
      </c>
      <c r="AB122" s="2" t="s">
        <v>155</v>
      </c>
      <c r="AC122" s="5" t="s">
        <v>65</v>
      </c>
      <c r="AD122" s="9">
        <v>0.21</v>
      </c>
      <c r="AE122" s="10" t="s">
        <v>39</v>
      </c>
      <c r="AF122" s="7"/>
      <c r="AG122" s="2"/>
      <c r="AH122" s="2"/>
      <c r="AI122" s="2" t="s">
        <v>40</v>
      </c>
      <c r="AJ122" s="2"/>
      <c r="AK122" s="2"/>
      <c r="AL122" s="1" t="str">
        <f t="shared" si="2"/>
        <v>"Maak je keuze","","","49000000","","unspsc","M","","","","","","","A010","","4917","","True",""</v>
      </c>
    </row>
    <row r="123" spans="1:38" x14ac:dyDescent="0.25">
      <c r="A123" s="1">
        <v>100</v>
      </c>
      <c r="C123" s="1" t="s">
        <v>31</v>
      </c>
      <c r="F123" s="1">
        <v>3</v>
      </c>
      <c r="G123" s="1" t="s">
        <v>148</v>
      </c>
      <c r="H123" s="8">
        <v>3</v>
      </c>
      <c r="J123" s="1" t="s">
        <v>45</v>
      </c>
      <c r="K123" s="1" t="s">
        <v>153</v>
      </c>
      <c r="O123" s="11">
        <v>49000000</v>
      </c>
      <c r="Q123" s="1" t="s">
        <v>35</v>
      </c>
      <c r="R123" s="1" t="s">
        <v>36</v>
      </c>
      <c r="W123" s="1" t="s">
        <v>42</v>
      </c>
      <c r="Y123" s="1" t="s">
        <v>37</v>
      </c>
      <c r="AA123" s="12">
        <v>4917</v>
      </c>
      <c r="AB123" s="1" t="s">
        <v>155</v>
      </c>
      <c r="AC123" s="12" t="s">
        <v>65</v>
      </c>
      <c r="AD123" s="13">
        <v>0.21</v>
      </c>
      <c r="AE123" s="14" t="s">
        <v>39</v>
      </c>
      <c r="AF123" s="15"/>
      <c r="AG123" s="1">
        <v>6161000200</v>
      </c>
      <c r="AH123" s="1" t="s">
        <v>45</v>
      </c>
      <c r="AI123" s="1" t="s">
        <v>44</v>
      </c>
      <c r="AL123" s="1" t="str">
        <f t="shared" si="2"/>
        <v>"Didactisch materiaal","","","49000000","","unspsc","M","","","","","K","","A010","","4917","6161000200","False",""</v>
      </c>
    </row>
    <row r="124" spans="1:38" x14ac:dyDescent="0.25">
      <c r="A124" s="1">
        <v>100</v>
      </c>
      <c r="C124" s="1" t="s">
        <v>31</v>
      </c>
      <c r="F124" s="1">
        <v>3</v>
      </c>
      <c r="G124" s="1" t="s">
        <v>148</v>
      </c>
      <c r="H124" s="8">
        <v>9</v>
      </c>
      <c r="J124" s="1" t="s">
        <v>59</v>
      </c>
      <c r="K124" s="1" t="s">
        <v>153</v>
      </c>
      <c r="O124" s="11">
        <v>49000000</v>
      </c>
      <c r="Q124" s="1" t="s">
        <v>35</v>
      </c>
      <c r="R124" s="1" t="s">
        <v>36</v>
      </c>
      <c r="W124" s="1" t="s">
        <v>60</v>
      </c>
      <c r="Y124" s="1" t="s">
        <v>37</v>
      </c>
      <c r="AA124" s="12">
        <v>4917</v>
      </c>
      <c r="AB124" s="1" t="s">
        <v>155</v>
      </c>
      <c r="AC124" s="12" t="s">
        <v>65</v>
      </c>
      <c r="AD124" s="13">
        <v>0.21</v>
      </c>
      <c r="AE124" s="14" t="s">
        <v>39</v>
      </c>
      <c r="AF124" s="15"/>
      <c r="AG124" s="11">
        <v>2302000000</v>
      </c>
      <c r="AH124" s="1" t="s">
        <v>125</v>
      </c>
      <c r="AI124" s="1" t="s">
        <v>44</v>
      </c>
      <c r="AL124" s="1" t="str">
        <f t="shared" si="2"/>
        <v>"Investering","","","49000000","","unspsc","M","","","","","A","","A010","","4917","2302000000","False",""</v>
      </c>
    </row>
    <row r="125" spans="1:38" x14ac:dyDescent="0.25">
      <c r="A125" s="1">
        <v>100</v>
      </c>
      <c r="B125" s="2"/>
      <c r="C125" s="1" t="s">
        <v>31</v>
      </c>
      <c r="F125" s="2">
        <v>1</v>
      </c>
      <c r="G125" s="2" t="s">
        <v>156</v>
      </c>
      <c r="J125" s="2" t="s">
        <v>33</v>
      </c>
      <c r="K125" s="2" t="s">
        <v>157</v>
      </c>
      <c r="O125" s="3">
        <v>50000000</v>
      </c>
      <c r="Q125" s="1" t="s">
        <v>35</v>
      </c>
      <c r="R125" s="1" t="s">
        <v>36</v>
      </c>
      <c r="Y125" s="1" t="s">
        <v>37</v>
      </c>
      <c r="Z125" s="2"/>
      <c r="AA125" s="4">
        <v>502022</v>
      </c>
      <c r="AB125" s="2" t="s">
        <v>158</v>
      </c>
      <c r="AC125" s="5" t="s">
        <v>65</v>
      </c>
      <c r="AD125" s="9">
        <v>0.21</v>
      </c>
      <c r="AE125" s="10" t="s">
        <v>39</v>
      </c>
      <c r="AF125" s="7"/>
      <c r="AG125" s="2"/>
      <c r="AH125" s="2"/>
      <c r="AI125" s="2" t="s">
        <v>40</v>
      </c>
      <c r="AJ125" s="2"/>
      <c r="AK125" s="2"/>
      <c r="AL125" s="1" t="str">
        <f t="shared" si="2"/>
        <v>"Maak je keuze","","","50000000","","unspsc","M","","","","","","","A010","","502022","","True",""</v>
      </c>
    </row>
    <row r="126" spans="1:38" s="2" customFormat="1" x14ac:dyDescent="0.25">
      <c r="A126" s="1">
        <v>100</v>
      </c>
      <c r="B126" s="1"/>
      <c r="C126" s="1" t="s">
        <v>31</v>
      </c>
      <c r="D126" s="1"/>
      <c r="E126" s="1"/>
      <c r="F126" s="1">
        <v>1</v>
      </c>
      <c r="G126" s="1" t="s">
        <v>156</v>
      </c>
      <c r="H126" s="8">
        <v>3</v>
      </c>
      <c r="I126" s="8"/>
      <c r="J126" s="1" t="s">
        <v>45</v>
      </c>
      <c r="K126" s="1" t="s">
        <v>157</v>
      </c>
      <c r="L126" s="1"/>
      <c r="M126" s="1"/>
      <c r="N126" s="1"/>
      <c r="O126" s="11">
        <v>50000000</v>
      </c>
      <c r="P126" s="1"/>
      <c r="Q126" s="1" t="s">
        <v>35</v>
      </c>
      <c r="R126" s="1" t="s">
        <v>36</v>
      </c>
      <c r="S126" s="1"/>
      <c r="T126" s="1"/>
      <c r="U126" s="1"/>
      <c r="V126" s="1"/>
      <c r="W126" s="1" t="s">
        <v>42</v>
      </c>
      <c r="X126" s="1"/>
      <c r="Y126" s="1" t="s">
        <v>37</v>
      </c>
      <c r="Z126" s="1"/>
      <c r="AA126" s="12">
        <v>502022</v>
      </c>
      <c r="AB126" s="1" t="s">
        <v>158</v>
      </c>
      <c r="AC126" s="12" t="s">
        <v>65</v>
      </c>
      <c r="AD126" s="13">
        <v>0.21</v>
      </c>
      <c r="AE126" s="14" t="s">
        <v>39</v>
      </c>
      <c r="AF126" s="15"/>
      <c r="AG126" s="1">
        <v>6161000200</v>
      </c>
      <c r="AH126" s="1" t="s">
        <v>45</v>
      </c>
      <c r="AI126" s="1" t="s">
        <v>44</v>
      </c>
      <c r="AJ126" s="1"/>
      <c r="AK126" s="1"/>
      <c r="AL126" s="1" t="str">
        <f t="shared" si="2"/>
        <v>"Didactisch materiaal","","","50000000","","unspsc","M","","","","","K","","A010","","502022","6161000200","False",""</v>
      </c>
    </row>
    <row r="127" spans="1:38" x14ac:dyDescent="0.25">
      <c r="A127" s="1">
        <v>100</v>
      </c>
      <c r="C127" s="1" t="s">
        <v>31</v>
      </c>
      <c r="F127" s="1">
        <v>1</v>
      </c>
      <c r="G127" s="1" t="s">
        <v>156</v>
      </c>
      <c r="H127" s="8">
        <v>4</v>
      </c>
      <c r="J127" s="1" t="s">
        <v>159</v>
      </c>
      <c r="K127" s="1" t="s">
        <v>157</v>
      </c>
      <c r="O127" s="11">
        <v>50000000</v>
      </c>
      <c r="Q127" s="1" t="s">
        <v>35</v>
      </c>
      <c r="R127" s="1" t="s">
        <v>36</v>
      </c>
      <c r="W127" s="1" t="s">
        <v>42</v>
      </c>
      <c r="Y127" s="1" t="s">
        <v>37</v>
      </c>
      <c r="AA127" s="12">
        <v>502022</v>
      </c>
      <c r="AB127" s="1" t="s">
        <v>158</v>
      </c>
      <c r="AC127" s="12" t="s">
        <v>65</v>
      </c>
      <c r="AD127" s="13">
        <v>0.21</v>
      </c>
      <c r="AE127" s="14" t="s">
        <v>39</v>
      </c>
      <c r="AF127" s="15"/>
      <c r="AG127" s="1">
        <v>6151000400</v>
      </c>
      <c r="AH127" s="1" t="s">
        <v>160</v>
      </c>
      <c r="AI127" s="1" t="s">
        <v>44</v>
      </c>
      <c r="AL127" s="1" t="str">
        <f t="shared" si="2"/>
        <v>"Evenementen (bv infodagen &amp; personeelsfeest)","","","50000000","","unspsc","M","","","","","K","","A010","","502022","6151000400","False",""</v>
      </c>
    </row>
    <row r="128" spans="1:38" x14ac:dyDescent="0.25">
      <c r="A128" s="1">
        <v>100</v>
      </c>
      <c r="C128" s="1" t="s">
        <v>31</v>
      </c>
      <c r="F128" s="1">
        <v>1</v>
      </c>
      <c r="G128" s="1" t="s">
        <v>156</v>
      </c>
      <c r="H128" s="8">
        <v>5</v>
      </c>
      <c r="J128" s="1" t="s">
        <v>161</v>
      </c>
      <c r="K128" s="1" t="s">
        <v>157</v>
      </c>
      <c r="O128" s="11">
        <v>50000000</v>
      </c>
      <c r="Q128" s="1" t="s">
        <v>35</v>
      </c>
      <c r="R128" s="1" t="s">
        <v>36</v>
      </c>
      <c r="W128" s="1" t="s">
        <v>42</v>
      </c>
      <c r="Y128" s="1" t="s">
        <v>37</v>
      </c>
      <c r="AA128" s="12">
        <v>502022</v>
      </c>
      <c r="AB128" s="1" t="s">
        <v>158</v>
      </c>
      <c r="AC128" s="12" t="s">
        <v>65</v>
      </c>
      <c r="AD128" s="13">
        <v>0.21</v>
      </c>
      <c r="AE128" s="14" t="s">
        <v>39</v>
      </c>
      <c r="AF128" s="15"/>
      <c r="AG128" s="1">
        <v>6152000300</v>
      </c>
      <c r="AH128" s="1" t="s">
        <v>43</v>
      </c>
      <c r="AI128" s="1" t="s">
        <v>44</v>
      </c>
      <c r="AL128" s="1" t="str">
        <f t="shared" si="2"/>
        <v>"Recepties &amp; vergaderingen personeel / leerlingen","","","50000000","","unspsc","M","","","","","K","","A010","","502022","6152000300","False",""</v>
      </c>
    </row>
    <row r="129" spans="1:38" x14ac:dyDescent="0.25">
      <c r="A129" s="1">
        <v>100</v>
      </c>
      <c r="C129" s="1" t="s">
        <v>31</v>
      </c>
      <c r="F129" s="1">
        <v>1</v>
      </c>
      <c r="G129" s="1" t="s">
        <v>156</v>
      </c>
      <c r="H129" s="8">
        <v>6</v>
      </c>
      <c r="J129" s="1" t="s">
        <v>108</v>
      </c>
      <c r="K129" s="1" t="s">
        <v>157</v>
      </c>
      <c r="O129" s="11">
        <v>50000000</v>
      </c>
      <c r="Q129" s="1" t="s">
        <v>35</v>
      </c>
      <c r="R129" s="1" t="s">
        <v>36</v>
      </c>
      <c r="W129" s="1" t="s">
        <v>42</v>
      </c>
      <c r="Y129" s="1" t="s">
        <v>37</v>
      </c>
      <c r="AA129" s="12">
        <v>502022</v>
      </c>
      <c r="AB129" s="1" t="s">
        <v>158</v>
      </c>
      <c r="AC129" s="12" t="s">
        <v>65</v>
      </c>
      <c r="AD129" s="13">
        <v>0.21</v>
      </c>
      <c r="AE129" s="14" t="s">
        <v>39</v>
      </c>
      <c r="AF129" s="15"/>
      <c r="AG129" s="1">
        <v>6030000200</v>
      </c>
      <c r="AH129" s="1" t="s">
        <v>109</v>
      </c>
      <c r="AI129" s="1" t="s">
        <v>44</v>
      </c>
      <c r="AL129" s="1" t="str">
        <f t="shared" si="2"/>
        <v>"Doorverkoop onderwijs (niet max fac)","","","50000000","","unspsc","M","","","","","K","","A010","","502022","6030000200","False",""</v>
      </c>
    </row>
    <row r="130" spans="1:38" s="2" customFormat="1" x14ac:dyDescent="0.25">
      <c r="A130" s="1">
        <v>100</v>
      </c>
      <c r="B130" s="1"/>
      <c r="C130" s="1" t="s">
        <v>31</v>
      </c>
      <c r="D130" s="1"/>
      <c r="E130" s="1"/>
      <c r="F130" s="1">
        <v>1</v>
      </c>
      <c r="G130" s="1" t="s">
        <v>156</v>
      </c>
      <c r="H130" s="8">
        <v>10</v>
      </c>
      <c r="I130" s="8"/>
      <c r="J130" s="1" t="s">
        <v>46</v>
      </c>
      <c r="K130" s="1" t="s">
        <v>162</v>
      </c>
      <c r="L130" s="1"/>
      <c r="M130" s="1"/>
      <c r="N130" s="1"/>
      <c r="O130" s="11">
        <v>50000000</v>
      </c>
      <c r="P130" s="1"/>
      <c r="Q130" s="1" t="s">
        <v>35</v>
      </c>
      <c r="R130" s="1" t="s">
        <v>36</v>
      </c>
      <c r="S130" s="1"/>
      <c r="T130" s="1"/>
      <c r="U130" s="1"/>
      <c r="V130" s="1"/>
      <c r="W130" s="1" t="s">
        <v>42</v>
      </c>
      <c r="X130" s="1"/>
      <c r="Y130" s="1" t="s">
        <v>37</v>
      </c>
      <c r="Z130" s="1"/>
      <c r="AA130" s="12">
        <v>502022</v>
      </c>
      <c r="AB130" s="1" t="s">
        <v>158</v>
      </c>
      <c r="AC130" s="12" t="s">
        <v>65</v>
      </c>
      <c r="AD130" s="13">
        <v>0.21</v>
      </c>
      <c r="AE130" s="14" t="s">
        <v>39</v>
      </c>
      <c r="AF130" s="15"/>
      <c r="AG130" s="1">
        <v>6146000400</v>
      </c>
      <c r="AH130" s="1" t="s">
        <v>47</v>
      </c>
      <c r="AI130" s="1" t="s">
        <v>44</v>
      </c>
      <c r="AJ130" s="1"/>
      <c r="AK130" s="1"/>
      <c r="AL130" s="1" t="str">
        <f t="shared" si="2"/>
        <v>"Representatie externen","","","50000000","","unspsc","M","","","","","K","","A010","","502022","6146000400","False",""</v>
      </c>
    </row>
    <row r="131" spans="1:38" s="21" customFormat="1" x14ac:dyDescent="0.25">
      <c r="A131" s="1">
        <v>100</v>
      </c>
      <c r="C131" s="21" t="s">
        <v>31</v>
      </c>
      <c r="F131" s="21">
        <v>1</v>
      </c>
      <c r="G131" s="21" t="s">
        <v>156</v>
      </c>
      <c r="H131" s="8">
        <v>19</v>
      </c>
      <c r="I131" s="8"/>
      <c r="J131" s="24" t="s">
        <v>163</v>
      </c>
      <c r="K131" s="21" t="s">
        <v>162</v>
      </c>
      <c r="L131" s="1"/>
      <c r="M131" s="1"/>
      <c r="N131" s="1"/>
      <c r="O131" s="23">
        <v>50000000</v>
      </c>
      <c r="Q131" s="21" t="s">
        <v>35</v>
      </c>
      <c r="R131" s="21" t="s">
        <v>36</v>
      </c>
      <c r="S131" s="1"/>
      <c r="T131" s="1"/>
      <c r="U131" s="1"/>
      <c r="V131" s="1"/>
      <c r="W131" s="21" t="s">
        <v>42</v>
      </c>
      <c r="Y131" s="21" t="s">
        <v>37</v>
      </c>
      <c r="AA131" s="25">
        <v>502022</v>
      </c>
      <c r="AB131" s="21" t="s">
        <v>158</v>
      </c>
      <c r="AC131" s="25" t="s">
        <v>65</v>
      </c>
      <c r="AD131" s="26">
        <v>0.21</v>
      </c>
      <c r="AE131" s="27" t="s">
        <v>39</v>
      </c>
      <c r="AF131" s="55"/>
      <c r="AG131" s="24">
        <v>6152000200</v>
      </c>
      <c r="AH131" s="24" t="s">
        <v>164</v>
      </c>
      <c r="AI131" s="21" t="s">
        <v>44</v>
      </c>
      <c r="AL131" s="1" t="str">
        <f t="shared" si="2"/>
        <v>"Teambuilding","","","50000000","","unspsc","M","","","","","K","","A010","","502022","6152000200","False",""</v>
      </c>
    </row>
    <row r="132" spans="1:38" x14ac:dyDescent="0.25">
      <c r="A132" s="1">
        <v>100</v>
      </c>
      <c r="B132" s="2"/>
      <c r="C132" s="1" t="s">
        <v>31</v>
      </c>
      <c r="F132" s="2">
        <v>1</v>
      </c>
      <c r="G132" s="2" t="s">
        <v>156</v>
      </c>
      <c r="J132" s="2" t="s">
        <v>33</v>
      </c>
      <c r="K132" s="2" t="s">
        <v>165</v>
      </c>
      <c r="O132" s="3">
        <v>50000000</v>
      </c>
      <c r="Q132" s="1" t="s">
        <v>35</v>
      </c>
      <c r="R132" s="1" t="s">
        <v>36</v>
      </c>
      <c r="Y132" s="1" t="s">
        <v>37</v>
      </c>
      <c r="Z132" s="2"/>
      <c r="AA132" s="4">
        <v>5019</v>
      </c>
      <c r="AB132" s="2" t="s">
        <v>166</v>
      </c>
      <c r="AC132" s="5" t="s">
        <v>38</v>
      </c>
      <c r="AD132" s="9">
        <v>0.06</v>
      </c>
      <c r="AE132" s="10" t="s">
        <v>39</v>
      </c>
      <c r="AF132" s="7"/>
      <c r="AG132" s="2"/>
      <c r="AH132" s="2"/>
      <c r="AI132" s="2" t="s">
        <v>40</v>
      </c>
      <c r="AJ132" s="2"/>
      <c r="AK132" s="2"/>
      <c r="AL132" s="1" t="str">
        <f t="shared" ref="AL132:AL195" si="3">""""&amp;J132&amp;""""&amp;","&amp;""""&amp;L132&amp;""""&amp;","&amp;""""&amp;M132&amp;""""&amp;","&amp;""""&amp;O132&amp;""""&amp;","&amp;""""&amp;P132&amp;""""&amp;","&amp;""""&amp;Q132&amp;""""&amp;","&amp;""""&amp;R132&amp;""""&amp;","&amp;""""&amp;S132&amp;""""&amp;","&amp;""""&amp;T132&amp;""""&amp;","&amp;""""&amp;U132&amp;""""&amp;","&amp;""""&amp;V132&amp;""""&amp;","&amp;""""&amp;W132&amp;""""&amp;","&amp;""""&amp;X132&amp;""""&amp;","&amp;""""&amp;Y132&amp;""""&amp;","&amp;""""&amp;Z132&amp;""""&amp;","&amp;""""&amp;AA132&amp;""""&amp;","&amp;""""&amp;AG132&amp;""""&amp;","&amp;""""&amp;AI132&amp;""""&amp;","&amp;""""&amp;AJ132&amp;""""&amp;""</f>
        <v>"Maak je keuze","","","50000000","","unspsc","M","","","","","","","A010","","5019","","True",""</v>
      </c>
    </row>
    <row r="133" spans="1:38" s="2" customFormat="1" x14ac:dyDescent="0.25">
      <c r="A133" s="1">
        <v>100</v>
      </c>
      <c r="B133" s="1"/>
      <c r="C133" s="1" t="s">
        <v>31</v>
      </c>
      <c r="D133" s="1"/>
      <c r="E133" s="1"/>
      <c r="F133" s="1">
        <v>1</v>
      </c>
      <c r="G133" s="1" t="s">
        <v>156</v>
      </c>
      <c r="H133" s="8">
        <v>5</v>
      </c>
      <c r="I133" s="8"/>
      <c r="J133" s="1" t="s">
        <v>161</v>
      </c>
      <c r="K133" s="1" t="s">
        <v>165</v>
      </c>
      <c r="L133" s="1"/>
      <c r="M133" s="1"/>
      <c r="N133" s="1"/>
      <c r="O133" s="11">
        <v>50000000</v>
      </c>
      <c r="P133" s="1"/>
      <c r="Q133" s="1" t="s">
        <v>35</v>
      </c>
      <c r="R133" s="1" t="s">
        <v>36</v>
      </c>
      <c r="S133" s="1"/>
      <c r="T133" s="1"/>
      <c r="U133" s="1"/>
      <c r="V133" s="1"/>
      <c r="W133" s="1" t="s">
        <v>42</v>
      </c>
      <c r="X133" s="1"/>
      <c r="Y133" s="1" t="s">
        <v>37</v>
      </c>
      <c r="Z133" s="1"/>
      <c r="AA133" s="12">
        <v>5019</v>
      </c>
      <c r="AB133" s="1" t="s">
        <v>166</v>
      </c>
      <c r="AC133" s="12" t="s">
        <v>38</v>
      </c>
      <c r="AD133" s="13">
        <v>0.06</v>
      </c>
      <c r="AE133" s="14" t="s">
        <v>39</v>
      </c>
      <c r="AF133" s="15"/>
      <c r="AG133" s="1">
        <v>6152000300</v>
      </c>
      <c r="AH133" s="1" t="s">
        <v>43</v>
      </c>
      <c r="AI133" s="1" t="s">
        <v>44</v>
      </c>
      <c r="AJ133" s="1"/>
      <c r="AK133" s="1"/>
      <c r="AL133" s="1" t="str">
        <f t="shared" si="3"/>
        <v>"Recepties &amp; vergaderingen personeel / leerlingen","","","50000000","","unspsc","M","","","","","K","","A010","","5019","6152000300","False",""</v>
      </c>
    </row>
    <row r="134" spans="1:38" x14ac:dyDescent="0.25">
      <c r="A134" s="1">
        <v>100</v>
      </c>
      <c r="C134" s="1" t="s">
        <v>31</v>
      </c>
      <c r="F134" s="1">
        <v>1</v>
      </c>
      <c r="G134" s="1" t="s">
        <v>156</v>
      </c>
      <c r="H134" s="8">
        <v>2</v>
      </c>
      <c r="J134" s="1" t="s">
        <v>57</v>
      </c>
      <c r="K134" s="1" t="s">
        <v>165</v>
      </c>
      <c r="O134" s="11">
        <v>50000000</v>
      </c>
      <c r="Q134" s="1" t="s">
        <v>35</v>
      </c>
      <c r="R134" s="1" t="s">
        <v>36</v>
      </c>
      <c r="W134" s="1" t="s">
        <v>42</v>
      </c>
      <c r="Y134" s="1" t="s">
        <v>37</v>
      </c>
      <c r="AA134" s="12">
        <v>5019</v>
      </c>
      <c r="AB134" s="1" t="s">
        <v>166</v>
      </c>
      <c r="AC134" s="12" t="s">
        <v>38</v>
      </c>
      <c r="AD134" s="13">
        <v>0.06</v>
      </c>
      <c r="AE134" s="14" t="s">
        <v>39</v>
      </c>
      <c r="AF134" s="15"/>
      <c r="AG134" s="1">
        <v>6030000300</v>
      </c>
      <c r="AH134" s="1" t="s">
        <v>58</v>
      </c>
      <c r="AI134" s="1" t="s">
        <v>44</v>
      </c>
      <c r="AL134" s="1" t="str">
        <f t="shared" si="3"/>
        <v>"Aankoop voor doorverkoop niet onderwijs","","","50000000","","unspsc","M","","","","","K","","A010","","5019","6030000300","False",""</v>
      </c>
    </row>
    <row r="135" spans="1:38" x14ac:dyDescent="0.25">
      <c r="A135" s="1">
        <v>100</v>
      </c>
      <c r="C135" s="1" t="s">
        <v>31</v>
      </c>
      <c r="F135" s="1">
        <v>1</v>
      </c>
      <c r="G135" s="1" t="s">
        <v>156</v>
      </c>
      <c r="H135" s="8">
        <v>3</v>
      </c>
      <c r="J135" s="1" t="s">
        <v>45</v>
      </c>
      <c r="K135" s="1" t="s">
        <v>165</v>
      </c>
      <c r="O135" s="11">
        <v>50000000</v>
      </c>
      <c r="Q135" s="1" t="s">
        <v>35</v>
      </c>
      <c r="R135" s="1" t="s">
        <v>36</v>
      </c>
      <c r="W135" s="1" t="s">
        <v>42</v>
      </c>
      <c r="Y135" s="1" t="s">
        <v>37</v>
      </c>
      <c r="AA135" s="12">
        <v>5019</v>
      </c>
      <c r="AB135" s="1" t="s">
        <v>166</v>
      </c>
      <c r="AC135" s="12" t="s">
        <v>38</v>
      </c>
      <c r="AD135" s="13">
        <v>0.06</v>
      </c>
      <c r="AE135" s="14" t="s">
        <v>39</v>
      </c>
      <c r="AF135" s="15"/>
      <c r="AG135" s="1">
        <v>6161000200</v>
      </c>
      <c r="AH135" s="1" t="s">
        <v>45</v>
      </c>
      <c r="AI135" s="1" t="s">
        <v>44</v>
      </c>
      <c r="AL135" s="1" t="str">
        <f t="shared" si="3"/>
        <v>"Didactisch materiaal","","","50000000","","unspsc","M","","","","","K","","A010","","5019","6161000200","False",""</v>
      </c>
    </row>
    <row r="136" spans="1:38" x14ac:dyDescent="0.25">
      <c r="A136" s="1">
        <v>100</v>
      </c>
      <c r="C136" s="1" t="s">
        <v>31</v>
      </c>
      <c r="F136" s="1">
        <v>1</v>
      </c>
      <c r="G136" s="1" t="s">
        <v>156</v>
      </c>
      <c r="H136" s="8">
        <v>4</v>
      </c>
      <c r="J136" s="1" t="s">
        <v>159</v>
      </c>
      <c r="K136" s="1" t="s">
        <v>165</v>
      </c>
      <c r="O136" s="11">
        <v>50000000</v>
      </c>
      <c r="Q136" s="1" t="s">
        <v>35</v>
      </c>
      <c r="R136" s="1" t="s">
        <v>36</v>
      </c>
      <c r="W136" s="1" t="s">
        <v>42</v>
      </c>
      <c r="Y136" s="1" t="s">
        <v>37</v>
      </c>
      <c r="AA136" s="12">
        <v>5019</v>
      </c>
      <c r="AB136" s="1" t="s">
        <v>166</v>
      </c>
      <c r="AC136" s="12" t="s">
        <v>38</v>
      </c>
      <c r="AD136" s="13">
        <v>0.06</v>
      </c>
      <c r="AE136" s="14" t="s">
        <v>39</v>
      </c>
      <c r="AF136" s="15"/>
      <c r="AG136" s="1">
        <v>6151000400</v>
      </c>
      <c r="AH136" s="1" t="s">
        <v>160</v>
      </c>
      <c r="AI136" s="1" t="s">
        <v>44</v>
      </c>
      <c r="AL136" s="1" t="str">
        <f t="shared" si="3"/>
        <v>"Evenementen (bv infodagen &amp; personeelsfeest)","","","50000000","","unspsc","M","","","","","K","","A010","","5019","6151000400","False",""</v>
      </c>
    </row>
    <row r="137" spans="1:38" s="2" customFormat="1" x14ac:dyDescent="0.25">
      <c r="A137" s="1">
        <v>100</v>
      </c>
      <c r="B137" s="1"/>
      <c r="C137" s="1" t="s">
        <v>31</v>
      </c>
      <c r="D137" s="1"/>
      <c r="E137" s="1"/>
      <c r="F137" s="1">
        <v>1</v>
      </c>
      <c r="G137" s="1" t="s">
        <v>156</v>
      </c>
      <c r="H137" s="8">
        <v>10</v>
      </c>
      <c r="I137" s="8"/>
      <c r="J137" s="1" t="s">
        <v>46</v>
      </c>
      <c r="K137" s="1" t="s">
        <v>165</v>
      </c>
      <c r="L137" s="1"/>
      <c r="M137" s="1"/>
      <c r="N137" s="1"/>
      <c r="O137" s="11">
        <v>50000000</v>
      </c>
      <c r="P137" s="1"/>
      <c r="Q137" s="1" t="s">
        <v>35</v>
      </c>
      <c r="R137" s="1" t="s">
        <v>36</v>
      </c>
      <c r="S137" s="1"/>
      <c r="T137" s="1"/>
      <c r="U137" s="1"/>
      <c r="V137" s="1"/>
      <c r="W137" s="1" t="s">
        <v>42</v>
      </c>
      <c r="X137" s="1"/>
      <c r="Y137" s="1" t="s">
        <v>37</v>
      </c>
      <c r="Z137" s="1"/>
      <c r="AA137" s="12">
        <v>5019</v>
      </c>
      <c r="AB137" s="1" t="s">
        <v>166</v>
      </c>
      <c r="AC137" s="12" t="s">
        <v>38</v>
      </c>
      <c r="AD137" s="13">
        <v>0.06</v>
      </c>
      <c r="AE137" s="14" t="s">
        <v>39</v>
      </c>
      <c r="AF137" s="15"/>
      <c r="AG137" s="1">
        <v>6146000400</v>
      </c>
      <c r="AH137" s="1" t="s">
        <v>47</v>
      </c>
      <c r="AI137" s="1" t="s">
        <v>44</v>
      </c>
      <c r="AJ137" s="1"/>
      <c r="AK137" s="1"/>
      <c r="AL137" s="1" t="str">
        <f t="shared" si="3"/>
        <v>"Representatie externen","","","50000000","","unspsc","M","","","","","K","","A010","","5019","6146000400","False",""</v>
      </c>
    </row>
    <row r="138" spans="1:38" x14ac:dyDescent="0.25">
      <c r="A138" s="1">
        <v>100</v>
      </c>
      <c r="C138" s="1" t="s">
        <v>31</v>
      </c>
      <c r="F138" s="1">
        <v>1</v>
      </c>
      <c r="G138" s="1" t="s">
        <v>156</v>
      </c>
      <c r="H138" s="8">
        <v>18</v>
      </c>
      <c r="J138" s="1" t="s">
        <v>167</v>
      </c>
      <c r="K138" s="1" t="s">
        <v>165</v>
      </c>
      <c r="O138" s="11">
        <v>50000000</v>
      </c>
      <c r="Q138" s="1" t="s">
        <v>35</v>
      </c>
      <c r="R138" s="1" t="s">
        <v>36</v>
      </c>
      <c r="W138" s="1" t="s">
        <v>42</v>
      </c>
      <c r="Y138" s="1" t="s">
        <v>37</v>
      </c>
      <c r="AA138" s="12">
        <v>5019</v>
      </c>
      <c r="AB138" s="1" t="s">
        <v>166</v>
      </c>
      <c r="AC138" s="12" t="s">
        <v>38</v>
      </c>
      <c r="AD138" s="13">
        <v>0.06</v>
      </c>
      <c r="AE138" s="14" t="s">
        <v>39</v>
      </c>
      <c r="AF138" s="15"/>
      <c r="AG138" s="1">
        <v>6152000100</v>
      </c>
      <c r="AH138" s="1" t="s">
        <v>168</v>
      </c>
      <c r="AI138" s="1" t="s">
        <v>44</v>
      </c>
      <c r="AL138" s="1" t="str">
        <f t="shared" si="3"/>
        <v>"Nascholing","","","50000000","","unspsc","M","","","","","K","","A010","","5019","6152000100","False",""</v>
      </c>
    </row>
    <row r="139" spans="1:38" s="21" customFormat="1" x14ac:dyDescent="0.25">
      <c r="A139" s="1">
        <v>100</v>
      </c>
      <c r="C139" s="21" t="s">
        <v>31</v>
      </c>
      <c r="F139" s="21">
        <v>1</v>
      </c>
      <c r="G139" s="21" t="s">
        <v>156</v>
      </c>
      <c r="H139" s="8">
        <v>19</v>
      </c>
      <c r="I139" s="8"/>
      <c r="J139" s="24" t="s">
        <v>163</v>
      </c>
      <c r="K139" s="21" t="s">
        <v>165</v>
      </c>
      <c r="L139" s="1"/>
      <c r="M139" s="1"/>
      <c r="N139" s="1"/>
      <c r="O139" s="23">
        <v>50000000</v>
      </c>
      <c r="Q139" s="21" t="s">
        <v>35</v>
      </c>
      <c r="R139" s="21" t="s">
        <v>36</v>
      </c>
      <c r="S139" s="1"/>
      <c r="T139" s="1"/>
      <c r="U139" s="1"/>
      <c r="V139" s="1"/>
      <c r="W139" s="21" t="s">
        <v>42</v>
      </c>
      <c r="Y139" s="21" t="s">
        <v>37</v>
      </c>
      <c r="AA139" s="25">
        <v>5019</v>
      </c>
      <c r="AB139" s="21" t="s">
        <v>166</v>
      </c>
      <c r="AC139" s="25" t="s">
        <v>38</v>
      </c>
      <c r="AD139" s="26">
        <v>0.06</v>
      </c>
      <c r="AE139" s="27" t="s">
        <v>39</v>
      </c>
      <c r="AF139" s="55"/>
      <c r="AG139" s="24">
        <v>6152000200</v>
      </c>
      <c r="AH139" s="24" t="s">
        <v>164</v>
      </c>
      <c r="AI139" s="21" t="s">
        <v>44</v>
      </c>
      <c r="AL139" s="1" t="str">
        <f t="shared" si="3"/>
        <v>"Teambuilding","","","50000000","","unspsc","M","","","","","K","","A010","","5019","6152000200","False",""</v>
      </c>
    </row>
    <row r="140" spans="1:38" s="2" customFormat="1" x14ac:dyDescent="0.25">
      <c r="A140" s="1">
        <v>100</v>
      </c>
      <c r="C140" s="1" t="s">
        <v>31</v>
      </c>
      <c r="D140" s="1"/>
      <c r="E140" s="1"/>
      <c r="F140" s="2">
        <v>1</v>
      </c>
      <c r="G140" s="2" t="s">
        <v>156</v>
      </c>
      <c r="H140" s="8"/>
      <c r="I140" s="8"/>
      <c r="J140" s="2" t="s">
        <v>33</v>
      </c>
      <c r="K140" s="2" t="s">
        <v>157</v>
      </c>
      <c r="L140" s="1"/>
      <c r="M140" s="1"/>
      <c r="N140" s="1"/>
      <c r="O140" s="3">
        <v>50000000</v>
      </c>
      <c r="P140" s="1"/>
      <c r="Q140" s="1" t="s">
        <v>35</v>
      </c>
      <c r="R140" s="1" t="s">
        <v>36</v>
      </c>
      <c r="S140" s="1"/>
      <c r="T140" s="1"/>
      <c r="U140" s="1"/>
      <c r="V140" s="1"/>
      <c r="W140" s="1"/>
      <c r="X140" s="1"/>
      <c r="Y140" s="1" t="s">
        <v>37</v>
      </c>
      <c r="AA140" s="4">
        <v>5013</v>
      </c>
      <c r="AB140" s="2" t="s">
        <v>169</v>
      </c>
      <c r="AC140" s="5" t="s">
        <v>38</v>
      </c>
      <c r="AD140" s="9">
        <v>0.06</v>
      </c>
      <c r="AE140" s="10" t="s">
        <v>39</v>
      </c>
      <c r="AF140" s="7"/>
      <c r="AI140" s="2" t="s">
        <v>40</v>
      </c>
      <c r="AL140" s="1" t="str">
        <f t="shared" si="3"/>
        <v>"Maak je keuze","","","50000000","","unspsc","M","","","","","","","A010","","5013","","True",""</v>
      </c>
    </row>
    <row r="141" spans="1:38" x14ac:dyDescent="0.25">
      <c r="A141" s="1">
        <v>100</v>
      </c>
      <c r="C141" s="1" t="s">
        <v>31</v>
      </c>
      <c r="F141" s="1">
        <v>1</v>
      </c>
      <c r="G141" s="1" t="s">
        <v>156</v>
      </c>
      <c r="H141" s="8">
        <v>1</v>
      </c>
      <c r="J141" s="1" t="s">
        <v>170</v>
      </c>
      <c r="K141" s="1" t="s">
        <v>157</v>
      </c>
      <c r="O141" s="11">
        <v>50000000</v>
      </c>
      <c r="Q141" s="1" t="s">
        <v>35</v>
      </c>
      <c r="R141" s="1" t="s">
        <v>36</v>
      </c>
      <c r="W141" s="1" t="s">
        <v>42</v>
      </c>
      <c r="Y141" s="1" t="s">
        <v>37</v>
      </c>
      <c r="AA141" s="12">
        <v>5013</v>
      </c>
      <c r="AB141" s="1" t="s">
        <v>169</v>
      </c>
      <c r="AC141" s="12" t="s">
        <v>38</v>
      </c>
      <c r="AD141" s="13">
        <v>0.06</v>
      </c>
      <c r="AE141" s="14" t="s">
        <v>39</v>
      </c>
      <c r="AF141" s="15"/>
      <c r="AG141" s="1">
        <v>6152000300</v>
      </c>
      <c r="AH141" s="1" t="s">
        <v>43</v>
      </c>
      <c r="AI141" s="1" t="s">
        <v>44</v>
      </c>
      <c r="AL141" s="1" t="str">
        <f t="shared" si="3"/>
        <v>"(Verbruik) Personeel / leerlingen","","","50000000","","unspsc","M","","","","","K","","A010","","5013","6152000300","False",""</v>
      </c>
    </row>
    <row r="142" spans="1:38" x14ac:dyDescent="0.25">
      <c r="A142" s="1">
        <v>100</v>
      </c>
      <c r="C142" s="1" t="s">
        <v>31</v>
      </c>
      <c r="F142" s="1">
        <v>1</v>
      </c>
      <c r="G142" s="1" t="s">
        <v>156</v>
      </c>
      <c r="H142" s="8">
        <v>2</v>
      </c>
      <c r="J142" s="1" t="s">
        <v>57</v>
      </c>
      <c r="K142" s="1" t="s">
        <v>157</v>
      </c>
      <c r="O142" s="11">
        <v>50000000</v>
      </c>
      <c r="Q142" s="1" t="s">
        <v>35</v>
      </c>
      <c r="R142" s="1" t="s">
        <v>36</v>
      </c>
      <c r="W142" s="1" t="s">
        <v>42</v>
      </c>
      <c r="Y142" s="1" t="s">
        <v>37</v>
      </c>
      <c r="AA142" s="12">
        <v>5013</v>
      </c>
      <c r="AB142" s="1" t="s">
        <v>169</v>
      </c>
      <c r="AC142" s="12" t="s">
        <v>38</v>
      </c>
      <c r="AD142" s="13">
        <v>0.06</v>
      </c>
      <c r="AE142" s="14" t="s">
        <v>39</v>
      </c>
      <c r="AF142" s="15"/>
      <c r="AG142" s="1">
        <v>6030000300</v>
      </c>
      <c r="AH142" s="1" t="s">
        <v>58</v>
      </c>
      <c r="AI142" s="1" t="s">
        <v>44</v>
      </c>
      <c r="AL142" s="1" t="str">
        <f t="shared" si="3"/>
        <v>"Aankoop voor doorverkoop niet onderwijs","","","50000000","","unspsc","M","","","","","K","","A010","","5013","6030000300","False",""</v>
      </c>
    </row>
    <row r="143" spans="1:38" s="2" customFormat="1" x14ac:dyDescent="0.25">
      <c r="A143" s="1">
        <v>100</v>
      </c>
      <c r="B143" s="1"/>
      <c r="C143" s="1" t="s">
        <v>31</v>
      </c>
      <c r="D143" s="1"/>
      <c r="E143" s="1"/>
      <c r="F143" s="1">
        <v>1</v>
      </c>
      <c r="G143" s="1" t="s">
        <v>156</v>
      </c>
      <c r="H143" s="8">
        <v>4</v>
      </c>
      <c r="I143" s="8"/>
      <c r="J143" s="1" t="s">
        <v>159</v>
      </c>
      <c r="K143" s="1" t="s">
        <v>157</v>
      </c>
      <c r="L143" s="1"/>
      <c r="M143" s="1"/>
      <c r="N143" s="1"/>
      <c r="O143" s="11">
        <v>50000000</v>
      </c>
      <c r="P143" s="1"/>
      <c r="Q143" s="1" t="s">
        <v>35</v>
      </c>
      <c r="R143" s="1" t="s">
        <v>36</v>
      </c>
      <c r="S143" s="1"/>
      <c r="T143" s="1"/>
      <c r="U143" s="1"/>
      <c r="V143" s="1"/>
      <c r="W143" s="1" t="s">
        <v>42</v>
      </c>
      <c r="X143" s="1"/>
      <c r="Y143" s="1" t="s">
        <v>37</v>
      </c>
      <c r="Z143" s="1"/>
      <c r="AA143" s="12">
        <v>5013</v>
      </c>
      <c r="AB143" s="1" t="s">
        <v>169</v>
      </c>
      <c r="AC143" s="12" t="s">
        <v>38</v>
      </c>
      <c r="AD143" s="13">
        <v>0.06</v>
      </c>
      <c r="AE143" s="14" t="s">
        <v>39</v>
      </c>
      <c r="AF143" s="15"/>
      <c r="AG143" s="1">
        <v>6151000400</v>
      </c>
      <c r="AH143" s="1" t="s">
        <v>160</v>
      </c>
      <c r="AI143" s="1" t="s">
        <v>44</v>
      </c>
      <c r="AJ143" s="1"/>
      <c r="AK143" s="1"/>
      <c r="AL143" s="1" t="str">
        <f t="shared" si="3"/>
        <v>"Evenementen (bv infodagen &amp; personeelsfeest)","","","50000000","","unspsc","M","","","","","K","","A010","","5013","6151000400","False",""</v>
      </c>
    </row>
    <row r="144" spans="1:38" x14ac:dyDescent="0.25">
      <c r="A144" s="1">
        <v>100</v>
      </c>
      <c r="B144" s="2"/>
      <c r="C144" s="1" t="s">
        <v>31</v>
      </c>
      <c r="F144" s="2">
        <v>1</v>
      </c>
      <c r="G144" s="2" t="s">
        <v>156</v>
      </c>
      <c r="J144" s="2" t="s">
        <v>33</v>
      </c>
      <c r="K144" s="2" t="s">
        <v>157</v>
      </c>
      <c r="O144" s="3">
        <v>50000000</v>
      </c>
      <c r="Q144" s="1" t="s">
        <v>35</v>
      </c>
      <c r="R144" s="1" t="s">
        <v>36</v>
      </c>
      <c r="Y144" s="1" t="s">
        <v>37</v>
      </c>
      <c r="Z144" s="2"/>
      <c r="AA144" s="4">
        <v>5020</v>
      </c>
      <c r="AB144" s="2" t="s">
        <v>171</v>
      </c>
      <c r="AC144" s="5" t="s">
        <v>38</v>
      </c>
      <c r="AD144" s="9">
        <v>0.06</v>
      </c>
      <c r="AE144" s="10" t="s">
        <v>39</v>
      </c>
      <c r="AF144" s="7"/>
      <c r="AG144" s="2"/>
      <c r="AH144" s="2"/>
      <c r="AI144" s="2" t="s">
        <v>40</v>
      </c>
      <c r="AJ144" s="2"/>
      <c r="AK144" s="2"/>
      <c r="AL144" s="1" t="str">
        <f t="shared" si="3"/>
        <v>"Maak je keuze","","","50000000","","unspsc","M","","","","","","","A010","","5020","","True",""</v>
      </c>
    </row>
    <row r="145" spans="1:38" x14ac:dyDescent="0.25">
      <c r="A145" s="1">
        <v>100</v>
      </c>
      <c r="C145" s="1" t="s">
        <v>31</v>
      </c>
      <c r="F145" s="1">
        <v>1</v>
      </c>
      <c r="G145" s="1" t="s">
        <v>156</v>
      </c>
      <c r="H145" s="8">
        <v>17</v>
      </c>
      <c r="J145" s="1" t="s">
        <v>41</v>
      </c>
      <c r="K145" s="1" t="s">
        <v>157</v>
      </c>
      <c r="O145" s="11">
        <v>50000000</v>
      </c>
      <c r="Q145" s="1" t="s">
        <v>35</v>
      </c>
      <c r="R145" s="1" t="s">
        <v>36</v>
      </c>
      <c r="W145" s="1" t="s">
        <v>42</v>
      </c>
      <c r="Y145" s="1" t="s">
        <v>37</v>
      </c>
      <c r="AA145" s="12">
        <v>5020</v>
      </c>
      <c r="AB145" s="1" t="s">
        <v>171</v>
      </c>
      <c r="AC145" s="12" t="s">
        <v>38</v>
      </c>
      <c r="AD145" s="13">
        <v>0.06</v>
      </c>
      <c r="AE145" s="14" t="s">
        <v>39</v>
      </c>
      <c r="AF145" s="15"/>
      <c r="AG145" s="1">
        <v>6152000300</v>
      </c>
      <c r="AH145" s="1" t="s">
        <v>43</v>
      </c>
      <c r="AI145" s="1" t="s">
        <v>44</v>
      </c>
      <c r="AL145" s="1" t="str">
        <f t="shared" si="3"/>
        <v>"Operationele werking","","","50000000","","unspsc","M","","","","","K","","A010","","5020","6152000300","False",""</v>
      </c>
    </row>
    <row r="146" spans="1:38" s="2" customFormat="1" x14ac:dyDescent="0.25">
      <c r="A146" s="1">
        <v>100</v>
      </c>
      <c r="B146" s="1"/>
      <c r="C146" s="1" t="s">
        <v>31</v>
      </c>
      <c r="D146" s="1"/>
      <c r="E146" s="1"/>
      <c r="F146" s="1">
        <v>1</v>
      </c>
      <c r="G146" s="1" t="s">
        <v>156</v>
      </c>
      <c r="H146" s="8">
        <v>3</v>
      </c>
      <c r="I146" s="8"/>
      <c r="J146" s="1" t="s">
        <v>45</v>
      </c>
      <c r="K146" s="1" t="s">
        <v>157</v>
      </c>
      <c r="L146" s="1"/>
      <c r="M146" s="1"/>
      <c r="N146" s="1"/>
      <c r="O146" s="11">
        <v>50000000</v>
      </c>
      <c r="P146" s="1"/>
      <c r="Q146" s="1" t="s">
        <v>35</v>
      </c>
      <c r="R146" s="1" t="s">
        <v>36</v>
      </c>
      <c r="S146" s="1"/>
      <c r="T146" s="1"/>
      <c r="U146" s="1"/>
      <c r="V146" s="1"/>
      <c r="W146" s="1" t="s">
        <v>42</v>
      </c>
      <c r="X146" s="1"/>
      <c r="Y146" s="1" t="s">
        <v>37</v>
      </c>
      <c r="Z146" s="1"/>
      <c r="AA146" s="12">
        <v>5020</v>
      </c>
      <c r="AB146" s="1" t="s">
        <v>171</v>
      </c>
      <c r="AC146" s="12" t="s">
        <v>38</v>
      </c>
      <c r="AD146" s="13">
        <v>0.06</v>
      </c>
      <c r="AE146" s="14" t="s">
        <v>39</v>
      </c>
      <c r="AF146" s="15"/>
      <c r="AG146" s="1">
        <v>6161000200</v>
      </c>
      <c r="AH146" s="1" t="s">
        <v>45</v>
      </c>
      <c r="AI146" s="1" t="s">
        <v>44</v>
      </c>
      <c r="AJ146" s="1"/>
      <c r="AK146" s="1"/>
      <c r="AL146" s="1" t="str">
        <f t="shared" si="3"/>
        <v>"Didactisch materiaal","","","50000000","","unspsc","M","","","","","K","","A010","","5020","6161000200","False",""</v>
      </c>
    </row>
    <row r="147" spans="1:38" x14ac:dyDescent="0.25">
      <c r="A147" s="1">
        <v>100</v>
      </c>
      <c r="C147" s="1" t="s">
        <v>31</v>
      </c>
      <c r="F147" s="1">
        <v>1</v>
      </c>
      <c r="G147" s="1" t="s">
        <v>156</v>
      </c>
      <c r="H147" s="8">
        <v>4</v>
      </c>
      <c r="J147" s="1" t="s">
        <v>159</v>
      </c>
      <c r="K147" s="1" t="s">
        <v>157</v>
      </c>
      <c r="O147" s="11">
        <v>50000000</v>
      </c>
      <c r="Q147" s="1" t="s">
        <v>35</v>
      </c>
      <c r="R147" s="1" t="s">
        <v>36</v>
      </c>
      <c r="W147" s="1" t="s">
        <v>42</v>
      </c>
      <c r="Y147" s="1" t="s">
        <v>37</v>
      </c>
      <c r="AA147" s="12">
        <v>5020</v>
      </c>
      <c r="AB147" s="1" t="s">
        <v>171</v>
      </c>
      <c r="AC147" s="12" t="s">
        <v>38</v>
      </c>
      <c r="AD147" s="13">
        <v>0.06</v>
      </c>
      <c r="AE147" s="14" t="s">
        <v>39</v>
      </c>
      <c r="AF147" s="15"/>
      <c r="AG147" s="1">
        <v>6151000400</v>
      </c>
      <c r="AH147" s="1" t="s">
        <v>160</v>
      </c>
      <c r="AI147" s="1" t="s">
        <v>44</v>
      </c>
      <c r="AL147" s="1" t="str">
        <f t="shared" si="3"/>
        <v>"Evenementen (bv infodagen &amp; personeelsfeest)","","","50000000","","unspsc","M","","","","","K","","A010","","5020","6151000400","False",""</v>
      </c>
    </row>
    <row r="148" spans="1:38" x14ac:dyDescent="0.25">
      <c r="A148" s="1">
        <v>100</v>
      </c>
      <c r="C148" s="1" t="s">
        <v>31</v>
      </c>
      <c r="F148" s="1">
        <v>1</v>
      </c>
      <c r="G148" s="1" t="s">
        <v>156</v>
      </c>
      <c r="H148" s="8">
        <v>5</v>
      </c>
      <c r="J148" s="1" t="s">
        <v>161</v>
      </c>
      <c r="K148" s="1" t="s">
        <v>157</v>
      </c>
      <c r="O148" s="11">
        <v>50000000</v>
      </c>
      <c r="Q148" s="1" t="s">
        <v>35</v>
      </c>
      <c r="R148" s="1" t="s">
        <v>36</v>
      </c>
      <c r="W148" s="1" t="s">
        <v>42</v>
      </c>
      <c r="Y148" s="1" t="s">
        <v>37</v>
      </c>
      <c r="AA148" s="12">
        <v>5020</v>
      </c>
      <c r="AB148" s="1" t="s">
        <v>171</v>
      </c>
      <c r="AC148" s="12" t="s">
        <v>38</v>
      </c>
      <c r="AD148" s="13">
        <v>0.06</v>
      </c>
      <c r="AE148" s="14" t="s">
        <v>39</v>
      </c>
      <c r="AF148" s="15"/>
      <c r="AG148" s="1">
        <v>6152000300</v>
      </c>
      <c r="AH148" s="1" t="s">
        <v>43</v>
      </c>
      <c r="AI148" s="1" t="s">
        <v>44</v>
      </c>
      <c r="AL148" s="1" t="str">
        <f t="shared" si="3"/>
        <v>"Recepties &amp; vergaderingen personeel / leerlingen","","","50000000","","unspsc","M","","","","","K","","A010","","5020","6152000300","False",""</v>
      </c>
    </row>
    <row r="149" spans="1:38" s="2" customFormat="1" x14ac:dyDescent="0.25">
      <c r="A149" s="1">
        <v>100</v>
      </c>
      <c r="B149" s="1"/>
      <c r="C149" s="1" t="s">
        <v>31</v>
      </c>
      <c r="D149" s="1"/>
      <c r="E149" s="1"/>
      <c r="F149" s="1">
        <v>1</v>
      </c>
      <c r="G149" s="1" t="s">
        <v>156</v>
      </c>
      <c r="H149" s="8">
        <v>6</v>
      </c>
      <c r="I149" s="8"/>
      <c r="J149" s="1" t="s">
        <v>108</v>
      </c>
      <c r="K149" s="1" t="s">
        <v>157</v>
      </c>
      <c r="L149" s="1"/>
      <c r="M149" s="1"/>
      <c r="N149" s="1"/>
      <c r="O149" s="11">
        <v>50000000</v>
      </c>
      <c r="P149" s="1"/>
      <c r="Q149" s="1" t="s">
        <v>35</v>
      </c>
      <c r="R149" s="1" t="s">
        <v>36</v>
      </c>
      <c r="S149" s="1"/>
      <c r="T149" s="1"/>
      <c r="U149" s="1"/>
      <c r="V149" s="1"/>
      <c r="W149" s="1" t="s">
        <v>42</v>
      </c>
      <c r="X149" s="1"/>
      <c r="Y149" s="1" t="s">
        <v>37</v>
      </c>
      <c r="Z149" s="1"/>
      <c r="AA149" s="12">
        <v>5020</v>
      </c>
      <c r="AB149" s="1" t="s">
        <v>171</v>
      </c>
      <c r="AC149" s="12" t="s">
        <v>38</v>
      </c>
      <c r="AD149" s="13">
        <v>0.06</v>
      </c>
      <c r="AE149" s="14" t="s">
        <v>39</v>
      </c>
      <c r="AF149" s="15"/>
      <c r="AG149" s="1">
        <v>6030000200</v>
      </c>
      <c r="AH149" s="1" t="s">
        <v>109</v>
      </c>
      <c r="AI149" s="1" t="s">
        <v>44</v>
      </c>
      <c r="AJ149" s="1"/>
      <c r="AK149" s="1"/>
      <c r="AL149" s="1" t="str">
        <f t="shared" si="3"/>
        <v>"Doorverkoop onderwijs (niet max fac)","","","50000000","","unspsc","M","","","","","K","","A010","","5020","6030000200","False",""</v>
      </c>
    </row>
    <row r="150" spans="1:38" x14ac:dyDescent="0.25">
      <c r="A150" s="1">
        <v>100</v>
      </c>
      <c r="C150" s="1" t="s">
        <v>31</v>
      </c>
      <c r="F150" s="1">
        <v>1</v>
      </c>
      <c r="G150" s="1" t="s">
        <v>156</v>
      </c>
      <c r="H150" s="8">
        <v>10</v>
      </c>
      <c r="J150" s="1" t="s">
        <v>46</v>
      </c>
      <c r="K150" s="1" t="s">
        <v>157</v>
      </c>
      <c r="O150" s="11">
        <v>50000000</v>
      </c>
      <c r="Q150" s="1" t="s">
        <v>35</v>
      </c>
      <c r="R150" s="1" t="s">
        <v>36</v>
      </c>
      <c r="W150" s="1" t="s">
        <v>42</v>
      </c>
      <c r="Y150" s="1" t="s">
        <v>37</v>
      </c>
      <c r="AA150" s="12">
        <v>5020</v>
      </c>
      <c r="AB150" s="1" t="s">
        <v>171</v>
      </c>
      <c r="AC150" s="12" t="s">
        <v>38</v>
      </c>
      <c r="AD150" s="13">
        <v>0.06</v>
      </c>
      <c r="AE150" s="14" t="s">
        <v>39</v>
      </c>
      <c r="AF150" s="15"/>
      <c r="AG150" s="1">
        <v>6146000400</v>
      </c>
      <c r="AH150" s="1" t="s">
        <v>47</v>
      </c>
      <c r="AI150" s="1" t="s">
        <v>44</v>
      </c>
      <c r="AL150" s="1" t="str">
        <f t="shared" si="3"/>
        <v>"Representatie externen","","","50000000","","unspsc","M","","","","","K","","A010","","5020","6146000400","False",""</v>
      </c>
    </row>
    <row r="151" spans="1:38" x14ac:dyDescent="0.25">
      <c r="A151" s="1">
        <v>100</v>
      </c>
      <c r="C151" s="1" t="s">
        <v>31</v>
      </c>
      <c r="F151" s="1">
        <v>1</v>
      </c>
      <c r="G151" s="1" t="s">
        <v>156</v>
      </c>
      <c r="H151" s="8">
        <v>7</v>
      </c>
      <c r="J151" s="1" t="s">
        <v>119</v>
      </c>
      <c r="K151" s="1" t="s">
        <v>157</v>
      </c>
      <c r="O151" s="11">
        <v>50000000</v>
      </c>
      <c r="Q151" s="1" t="s">
        <v>35</v>
      </c>
      <c r="R151" s="1" t="s">
        <v>36</v>
      </c>
      <c r="W151" s="1" t="s">
        <v>42</v>
      </c>
      <c r="Y151" s="1" t="s">
        <v>37</v>
      </c>
      <c r="AA151" s="12">
        <v>5020</v>
      </c>
      <c r="AB151" s="1" t="s">
        <v>171</v>
      </c>
      <c r="AC151" s="12" t="s">
        <v>38</v>
      </c>
      <c r="AD151" s="13">
        <v>0.06</v>
      </c>
      <c r="AE151" s="14" t="s">
        <v>39</v>
      </c>
      <c r="AF151" s="15"/>
      <c r="AG151" s="1">
        <v>6030000100</v>
      </c>
      <c r="AH151" s="1" t="s">
        <v>120</v>
      </c>
      <c r="AI151" s="1" t="s">
        <v>44</v>
      </c>
      <c r="AL151" s="1" t="str">
        <f t="shared" si="3"/>
        <v>"Maximumfactuur","","","50000000","","unspsc","M","","","","","K","","A010","","5020","6030000100","False",""</v>
      </c>
    </row>
    <row r="152" spans="1:38" s="30" customFormat="1" x14ac:dyDescent="0.25">
      <c r="A152" s="1">
        <v>100</v>
      </c>
      <c r="B152" s="21"/>
      <c r="C152" s="21" t="s">
        <v>31</v>
      </c>
      <c r="D152" s="21"/>
      <c r="E152" s="21"/>
      <c r="F152" s="21">
        <v>1</v>
      </c>
      <c r="G152" s="21" t="s">
        <v>156</v>
      </c>
      <c r="H152" s="8">
        <v>19</v>
      </c>
      <c r="I152" s="8"/>
      <c r="J152" s="24" t="s">
        <v>163</v>
      </c>
      <c r="K152" s="21" t="s">
        <v>157</v>
      </c>
      <c r="L152" s="1"/>
      <c r="M152" s="1"/>
      <c r="N152" s="1"/>
      <c r="O152" s="23">
        <v>50000000</v>
      </c>
      <c r="P152" s="21"/>
      <c r="Q152" s="21" t="s">
        <v>35</v>
      </c>
      <c r="R152" s="21" t="s">
        <v>36</v>
      </c>
      <c r="S152" s="1"/>
      <c r="T152" s="1"/>
      <c r="U152" s="1"/>
      <c r="V152" s="1"/>
      <c r="W152" s="21" t="s">
        <v>42</v>
      </c>
      <c r="X152" s="21"/>
      <c r="Y152" s="21" t="s">
        <v>37</v>
      </c>
      <c r="Z152" s="21"/>
      <c r="AA152" s="25">
        <v>5020</v>
      </c>
      <c r="AB152" s="21" t="s">
        <v>171</v>
      </c>
      <c r="AC152" s="25" t="s">
        <v>38</v>
      </c>
      <c r="AD152" s="26">
        <v>0.06</v>
      </c>
      <c r="AE152" s="27" t="s">
        <v>39</v>
      </c>
      <c r="AF152" s="55"/>
      <c r="AG152" s="24">
        <v>6152000200</v>
      </c>
      <c r="AH152" s="24" t="s">
        <v>164</v>
      </c>
      <c r="AI152" s="21" t="s">
        <v>44</v>
      </c>
      <c r="AJ152" s="21"/>
      <c r="AK152" s="21"/>
      <c r="AL152" s="1" t="str">
        <f t="shared" si="3"/>
        <v>"Teambuilding","","","50000000","","unspsc","M","","","","","K","","A010","","5020","6152000200","False",""</v>
      </c>
    </row>
    <row r="153" spans="1:38" x14ac:dyDescent="0.25">
      <c r="A153" s="1">
        <v>100</v>
      </c>
      <c r="B153" s="2"/>
      <c r="C153" s="1" t="s">
        <v>31</v>
      </c>
      <c r="F153" s="2">
        <v>1</v>
      </c>
      <c r="G153" s="2" t="s">
        <v>156</v>
      </c>
      <c r="J153" s="2" t="s">
        <v>33</v>
      </c>
      <c r="K153" s="2" t="s">
        <v>165</v>
      </c>
      <c r="O153" s="3">
        <v>50000000</v>
      </c>
      <c r="Q153" s="1" t="s">
        <v>35</v>
      </c>
      <c r="R153" s="1" t="s">
        <v>36</v>
      </c>
      <c r="Y153" s="1" t="s">
        <v>37</v>
      </c>
      <c r="Z153" s="2"/>
      <c r="AA153" s="4">
        <v>50</v>
      </c>
      <c r="AB153" s="2" t="s">
        <v>162</v>
      </c>
      <c r="AC153" s="5" t="s">
        <v>38</v>
      </c>
      <c r="AD153" s="9">
        <v>0.06</v>
      </c>
      <c r="AE153" s="10" t="s">
        <v>39</v>
      </c>
      <c r="AF153" s="7"/>
      <c r="AG153" s="2"/>
      <c r="AH153" s="2"/>
      <c r="AI153" s="2" t="s">
        <v>40</v>
      </c>
      <c r="AJ153" s="2"/>
      <c r="AK153" s="2"/>
      <c r="AL153" s="1" t="str">
        <f t="shared" si="3"/>
        <v>"Maak je keuze","","","50000000","","unspsc","M","","","","","","","A010","","50","","True",""</v>
      </c>
    </row>
    <row r="154" spans="1:38" x14ac:dyDescent="0.25">
      <c r="A154" s="1">
        <v>100</v>
      </c>
      <c r="C154" s="1" t="s">
        <v>31</v>
      </c>
      <c r="F154" s="1">
        <v>1</v>
      </c>
      <c r="G154" s="1" t="s">
        <v>156</v>
      </c>
      <c r="H154" s="8">
        <v>1</v>
      </c>
      <c r="J154" s="1" t="s">
        <v>170</v>
      </c>
      <c r="K154" s="1" t="s">
        <v>165</v>
      </c>
      <c r="O154" s="11">
        <v>50000000</v>
      </c>
      <c r="Q154" s="1" t="s">
        <v>35</v>
      </c>
      <c r="R154" s="1" t="s">
        <v>36</v>
      </c>
      <c r="W154" s="1" t="s">
        <v>42</v>
      </c>
      <c r="Y154" s="1" t="s">
        <v>37</v>
      </c>
      <c r="AA154" s="12">
        <v>50</v>
      </c>
      <c r="AB154" s="1" t="s">
        <v>162</v>
      </c>
      <c r="AC154" s="12" t="s">
        <v>38</v>
      </c>
      <c r="AD154" s="13">
        <v>0.06</v>
      </c>
      <c r="AE154" s="14" t="s">
        <v>39</v>
      </c>
      <c r="AF154" s="15"/>
      <c r="AG154" s="1">
        <v>6152000300</v>
      </c>
      <c r="AH154" s="1" t="s">
        <v>43</v>
      </c>
      <c r="AI154" s="1" t="s">
        <v>44</v>
      </c>
      <c r="AL154" s="1" t="str">
        <f t="shared" si="3"/>
        <v>"(Verbruik) Personeel / leerlingen","","","50000000","","unspsc","M","","","","","K","","A010","","50","6152000300","False",""</v>
      </c>
    </row>
    <row r="155" spans="1:38" s="2" customFormat="1" x14ac:dyDescent="0.25">
      <c r="A155" s="1">
        <v>100</v>
      </c>
      <c r="B155" s="1"/>
      <c r="C155" s="1" t="s">
        <v>31</v>
      </c>
      <c r="D155" s="1"/>
      <c r="E155" s="1"/>
      <c r="F155" s="1">
        <v>1</v>
      </c>
      <c r="G155" s="1" t="s">
        <v>156</v>
      </c>
      <c r="H155" s="8">
        <v>2</v>
      </c>
      <c r="I155" s="8"/>
      <c r="J155" s="1" t="s">
        <v>57</v>
      </c>
      <c r="K155" s="1" t="s">
        <v>165</v>
      </c>
      <c r="L155" s="1"/>
      <c r="M155" s="1"/>
      <c r="N155" s="1"/>
      <c r="O155" s="11">
        <v>50000000</v>
      </c>
      <c r="P155" s="1"/>
      <c r="Q155" s="1" t="s">
        <v>35</v>
      </c>
      <c r="R155" s="1" t="s">
        <v>36</v>
      </c>
      <c r="S155" s="1"/>
      <c r="T155" s="1"/>
      <c r="U155" s="1"/>
      <c r="V155" s="1"/>
      <c r="W155" s="1" t="s">
        <v>42</v>
      </c>
      <c r="X155" s="1"/>
      <c r="Y155" s="1" t="s">
        <v>37</v>
      </c>
      <c r="Z155" s="1"/>
      <c r="AA155" s="12">
        <v>50</v>
      </c>
      <c r="AB155" s="1" t="s">
        <v>162</v>
      </c>
      <c r="AC155" s="12" t="s">
        <v>38</v>
      </c>
      <c r="AD155" s="13">
        <v>0.06</v>
      </c>
      <c r="AE155" s="14" t="s">
        <v>39</v>
      </c>
      <c r="AF155" s="15"/>
      <c r="AG155" s="1">
        <v>6030000300</v>
      </c>
      <c r="AH155" s="1" t="s">
        <v>58</v>
      </c>
      <c r="AI155" s="1" t="s">
        <v>44</v>
      </c>
      <c r="AJ155" s="1"/>
      <c r="AK155" s="1"/>
      <c r="AL155" s="1" t="str">
        <f t="shared" si="3"/>
        <v>"Aankoop voor doorverkoop niet onderwijs","","","50000000","","unspsc","M","","","","","K","","A010","","50","6030000300","False",""</v>
      </c>
    </row>
    <row r="156" spans="1:38" x14ac:dyDescent="0.25">
      <c r="A156" s="1">
        <v>100</v>
      </c>
      <c r="C156" s="1" t="s">
        <v>31</v>
      </c>
      <c r="F156" s="1">
        <v>1</v>
      </c>
      <c r="G156" s="1" t="s">
        <v>156</v>
      </c>
      <c r="H156" s="8">
        <v>3</v>
      </c>
      <c r="J156" s="1" t="s">
        <v>45</v>
      </c>
      <c r="K156" s="1" t="s">
        <v>165</v>
      </c>
      <c r="O156" s="11">
        <v>50000000</v>
      </c>
      <c r="Q156" s="1" t="s">
        <v>35</v>
      </c>
      <c r="R156" s="1" t="s">
        <v>36</v>
      </c>
      <c r="W156" s="1" t="s">
        <v>42</v>
      </c>
      <c r="Y156" s="1" t="s">
        <v>37</v>
      </c>
      <c r="AA156" s="12">
        <v>50</v>
      </c>
      <c r="AB156" s="1" t="s">
        <v>162</v>
      </c>
      <c r="AC156" s="12" t="s">
        <v>38</v>
      </c>
      <c r="AD156" s="13">
        <v>0.06</v>
      </c>
      <c r="AE156" s="14" t="s">
        <v>39</v>
      </c>
      <c r="AF156" s="15"/>
      <c r="AG156" s="1">
        <v>6161000200</v>
      </c>
      <c r="AH156" s="1" t="s">
        <v>45</v>
      </c>
      <c r="AI156" s="1" t="s">
        <v>44</v>
      </c>
      <c r="AL156" s="1" t="str">
        <f t="shared" si="3"/>
        <v>"Didactisch materiaal","","","50000000","","unspsc","M","","","","","K","","A010","","50","6161000200","False",""</v>
      </c>
    </row>
    <row r="157" spans="1:38" x14ac:dyDescent="0.25">
      <c r="A157" s="1">
        <v>100</v>
      </c>
      <c r="C157" s="1" t="s">
        <v>31</v>
      </c>
      <c r="F157" s="1">
        <v>1</v>
      </c>
      <c r="G157" s="1" t="s">
        <v>156</v>
      </c>
      <c r="H157" s="8">
        <v>4</v>
      </c>
      <c r="J157" s="1" t="s">
        <v>159</v>
      </c>
      <c r="K157" s="1" t="s">
        <v>165</v>
      </c>
      <c r="O157" s="11">
        <v>50000000</v>
      </c>
      <c r="Q157" s="1" t="s">
        <v>35</v>
      </c>
      <c r="R157" s="1" t="s">
        <v>36</v>
      </c>
      <c r="W157" s="1" t="s">
        <v>42</v>
      </c>
      <c r="Y157" s="1" t="s">
        <v>37</v>
      </c>
      <c r="AA157" s="12">
        <v>50</v>
      </c>
      <c r="AB157" s="1" t="s">
        <v>162</v>
      </c>
      <c r="AC157" s="12" t="s">
        <v>38</v>
      </c>
      <c r="AD157" s="13">
        <v>0.06</v>
      </c>
      <c r="AE157" s="14" t="s">
        <v>39</v>
      </c>
      <c r="AF157" s="15"/>
      <c r="AG157" s="1">
        <v>6151000400</v>
      </c>
      <c r="AH157" s="1" t="s">
        <v>160</v>
      </c>
      <c r="AI157" s="1" t="s">
        <v>44</v>
      </c>
      <c r="AL157" s="1" t="str">
        <f t="shared" si="3"/>
        <v>"Evenementen (bv infodagen &amp; personeelsfeest)","","","50000000","","unspsc","M","","","","","K","","A010","","50","6151000400","False",""</v>
      </c>
    </row>
    <row r="158" spans="1:38" s="2" customFormat="1" x14ac:dyDescent="0.25">
      <c r="A158" s="1">
        <v>100</v>
      </c>
      <c r="B158" s="1"/>
      <c r="C158" s="1" t="s">
        <v>31</v>
      </c>
      <c r="D158" s="1"/>
      <c r="E158" s="1"/>
      <c r="F158" s="1">
        <v>1</v>
      </c>
      <c r="G158" s="1" t="s">
        <v>156</v>
      </c>
      <c r="H158" s="8">
        <v>5</v>
      </c>
      <c r="I158" s="8"/>
      <c r="J158" s="1" t="s">
        <v>161</v>
      </c>
      <c r="K158" s="1" t="s">
        <v>165</v>
      </c>
      <c r="L158" s="1"/>
      <c r="M158" s="1"/>
      <c r="N158" s="1"/>
      <c r="O158" s="11">
        <v>50000000</v>
      </c>
      <c r="P158" s="1"/>
      <c r="Q158" s="1" t="s">
        <v>35</v>
      </c>
      <c r="R158" s="1" t="s">
        <v>36</v>
      </c>
      <c r="S158" s="1"/>
      <c r="T158" s="1"/>
      <c r="U158" s="1"/>
      <c r="V158" s="1"/>
      <c r="W158" s="1" t="s">
        <v>42</v>
      </c>
      <c r="X158" s="1"/>
      <c r="Y158" s="1" t="s">
        <v>37</v>
      </c>
      <c r="Z158" s="1"/>
      <c r="AA158" s="12">
        <v>50</v>
      </c>
      <c r="AB158" s="1" t="s">
        <v>162</v>
      </c>
      <c r="AC158" s="12" t="s">
        <v>38</v>
      </c>
      <c r="AD158" s="13">
        <v>0.06</v>
      </c>
      <c r="AE158" s="14" t="s">
        <v>39</v>
      </c>
      <c r="AF158" s="15"/>
      <c r="AG158" s="1">
        <v>6152000300</v>
      </c>
      <c r="AH158" s="1" t="s">
        <v>43</v>
      </c>
      <c r="AI158" s="1" t="s">
        <v>44</v>
      </c>
      <c r="AJ158" s="1"/>
      <c r="AK158" s="1"/>
      <c r="AL158" s="1" t="str">
        <f t="shared" si="3"/>
        <v>"Recepties &amp; vergaderingen personeel / leerlingen","","","50000000","","unspsc","M","","","","","K","","A010","","50","6152000300","False",""</v>
      </c>
    </row>
    <row r="159" spans="1:38" x14ac:dyDescent="0.25">
      <c r="A159" s="1">
        <v>100</v>
      </c>
      <c r="C159" s="1" t="s">
        <v>31</v>
      </c>
      <c r="F159" s="1">
        <v>1</v>
      </c>
      <c r="G159" s="1" t="s">
        <v>156</v>
      </c>
      <c r="H159" s="8">
        <v>6</v>
      </c>
      <c r="J159" s="1" t="s">
        <v>108</v>
      </c>
      <c r="K159" s="1" t="s">
        <v>165</v>
      </c>
      <c r="O159" s="11">
        <v>50000000</v>
      </c>
      <c r="Q159" s="1" t="s">
        <v>35</v>
      </c>
      <c r="R159" s="1" t="s">
        <v>36</v>
      </c>
      <c r="W159" s="1" t="s">
        <v>42</v>
      </c>
      <c r="Y159" s="1" t="s">
        <v>37</v>
      </c>
      <c r="AA159" s="12">
        <v>50</v>
      </c>
      <c r="AB159" s="1" t="s">
        <v>162</v>
      </c>
      <c r="AC159" s="12" t="s">
        <v>38</v>
      </c>
      <c r="AD159" s="13">
        <v>0.06</v>
      </c>
      <c r="AE159" s="14" t="s">
        <v>39</v>
      </c>
      <c r="AF159" s="15"/>
      <c r="AG159" s="1">
        <v>6030000200</v>
      </c>
      <c r="AH159" s="1" t="s">
        <v>109</v>
      </c>
      <c r="AI159" s="1" t="s">
        <v>44</v>
      </c>
      <c r="AL159" s="1" t="str">
        <f t="shared" si="3"/>
        <v>"Doorverkoop onderwijs (niet max fac)","","","50000000","","unspsc","M","","","","","K","","A010","","50","6030000200","False",""</v>
      </c>
    </row>
    <row r="160" spans="1:38" x14ac:dyDescent="0.25">
      <c r="A160" s="1">
        <v>100</v>
      </c>
      <c r="C160" s="1" t="s">
        <v>31</v>
      </c>
      <c r="F160" s="1">
        <v>1</v>
      </c>
      <c r="G160" s="1" t="s">
        <v>156</v>
      </c>
      <c r="H160" s="8">
        <v>10</v>
      </c>
      <c r="J160" s="1" t="s">
        <v>46</v>
      </c>
      <c r="K160" s="1" t="s">
        <v>165</v>
      </c>
      <c r="O160" s="11">
        <v>50000000</v>
      </c>
      <c r="Q160" s="1" t="s">
        <v>35</v>
      </c>
      <c r="R160" s="1" t="s">
        <v>36</v>
      </c>
      <c r="W160" s="1" t="s">
        <v>42</v>
      </c>
      <c r="Y160" s="1" t="s">
        <v>37</v>
      </c>
      <c r="AA160" s="12">
        <v>50</v>
      </c>
      <c r="AB160" s="1" t="s">
        <v>162</v>
      </c>
      <c r="AC160" s="12" t="s">
        <v>38</v>
      </c>
      <c r="AD160" s="13">
        <v>0.06</v>
      </c>
      <c r="AE160" s="14" t="s">
        <v>39</v>
      </c>
      <c r="AF160" s="15"/>
      <c r="AG160" s="1">
        <v>6146000400</v>
      </c>
      <c r="AH160" s="1" t="s">
        <v>47</v>
      </c>
      <c r="AI160" s="1" t="s">
        <v>44</v>
      </c>
      <c r="AL160" s="1" t="str">
        <f t="shared" si="3"/>
        <v>"Representatie externen","","","50000000","","unspsc","M","","","","","K","","A010","","50","6146000400","False",""</v>
      </c>
    </row>
    <row r="161" spans="1:38" x14ac:dyDescent="0.25">
      <c r="A161" s="1">
        <v>100</v>
      </c>
      <c r="C161" s="1" t="s">
        <v>31</v>
      </c>
      <c r="F161" s="1">
        <v>1</v>
      </c>
      <c r="G161" s="1" t="s">
        <v>156</v>
      </c>
      <c r="H161" s="8">
        <v>7</v>
      </c>
      <c r="J161" s="1" t="s">
        <v>119</v>
      </c>
      <c r="K161" s="1" t="s">
        <v>165</v>
      </c>
      <c r="O161" s="11">
        <v>50000000</v>
      </c>
      <c r="Q161" s="1" t="s">
        <v>35</v>
      </c>
      <c r="R161" s="1" t="s">
        <v>36</v>
      </c>
      <c r="W161" s="1" t="s">
        <v>42</v>
      </c>
      <c r="Y161" s="1" t="s">
        <v>37</v>
      </c>
      <c r="AA161" s="12">
        <v>50</v>
      </c>
      <c r="AB161" s="1" t="s">
        <v>162</v>
      </c>
      <c r="AC161" s="12" t="s">
        <v>38</v>
      </c>
      <c r="AD161" s="13">
        <v>0.06</v>
      </c>
      <c r="AE161" s="14" t="s">
        <v>39</v>
      </c>
      <c r="AF161" s="15"/>
      <c r="AG161" s="1">
        <v>6030000100</v>
      </c>
      <c r="AH161" s="1" t="s">
        <v>120</v>
      </c>
      <c r="AI161" s="1" t="s">
        <v>44</v>
      </c>
      <c r="AL161" s="1" t="str">
        <f t="shared" si="3"/>
        <v>"Maximumfactuur","","","50000000","","unspsc","M","","","","","K","","A010","","50","6030000100","False",""</v>
      </c>
    </row>
    <row r="162" spans="1:38" s="2" customFormat="1" x14ac:dyDescent="0.25">
      <c r="A162" s="1">
        <v>100</v>
      </c>
      <c r="C162" s="1" t="s">
        <v>31</v>
      </c>
      <c r="D162" s="1"/>
      <c r="E162" s="1"/>
      <c r="F162" s="2">
        <v>1</v>
      </c>
      <c r="G162" s="2" t="s">
        <v>156</v>
      </c>
      <c r="H162" s="8"/>
      <c r="I162" s="8"/>
      <c r="J162" s="2" t="s">
        <v>33</v>
      </c>
      <c r="K162" s="2" t="s">
        <v>165</v>
      </c>
      <c r="L162" s="1"/>
      <c r="M162" s="1"/>
      <c r="N162" s="1"/>
      <c r="O162" s="3">
        <v>50000000</v>
      </c>
      <c r="P162" s="1"/>
      <c r="Q162" s="1" t="s">
        <v>35</v>
      </c>
      <c r="R162" s="1" t="s">
        <v>36</v>
      </c>
      <c r="S162" s="1"/>
      <c r="T162" s="1"/>
      <c r="U162" s="1"/>
      <c r="V162" s="1"/>
      <c r="W162" s="1"/>
      <c r="X162" s="1"/>
      <c r="Y162" s="1" t="s">
        <v>37</v>
      </c>
      <c r="AA162" s="4">
        <v>5012</v>
      </c>
      <c r="AB162" s="2" t="s">
        <v>172</v>
      </c>
      <c r="AC162" s="5" t="s">
        <v>65</v>
      </c>
      <c r="AD162" s="9">
        <v>0.21</v>
      </c>
      <c r="AE162" s="10" t="s">
        <v>39</v>
      </c>
      <c r="AF162" s="7"/>
      <c r="AI162" s="2" t="s">
        <v>40</v>
      </c>
      <c r="AL162" s="1" t="str">
        <f t="shared" si="3"/>
        <v>"Maak je keuze","","","50000000","","unspsc","M","","","","","","","A010","","5012","","True",""</v>
      </c>
    </row>
    <row r="163" spans="1:38" x14ac:dyDescent="0.25">
      <c r="A163" s="1">
        <v>100</v>
      </c>
      <c r="C163" s="1" t="s">
        <v>31</v>
      </c>
      <c r="F163" s="1">
        <v>1</v>
      </c>
      <c r="G163" s="1" t="s">
        <v>156</v>
      </c>
      <c r="H163" s="8">
        <v>1</v>
      </c>
      <c r="J163" s="1" t="s">
        <v>170</v>
      </c>
      <c r="K163" s="1" t="s">
        <v>165</v>
      </c>
      <c r="O163" s="11">
        <v>50000000</v>
      </c>
      <c r="Q163" s="1" t="s">
        <v>35</v>
      </c>
      <c r="R163" s="1" t="s">
        <v>36</v>
      </c>
      <c r="W163" s="1" t="s">
        <v>42</v>
      </c>
      <c r="Y163" s="1" t="s">
        <v>37</v>
      </c>
      <c r="AA163" s="12">
        <v>5012</v>
      </c>
      <c r="AB163" s="1" t="s">
        <v>173</v>
      </c>
      <c r="AC163" s="12" t="s">
        <v>65</v>
      </c>
      <c r="AD163" s="13">
        <v>0.21</v>
      </c>
      <c r="AE163" s="14" t="s">
        <v>39</v>
      </c>
      <c r="AF163" s="15"/>
      <c r="AG163" s="1">
        <v>6152000300</v>
      </c>
      <c r="AH163" s="1" t="s">
        <v>43</v>
      </c>
      <c r="AI163" s="1" t="s">
        <v>44</v>
      </c>
      <c r="AL163" s="1" t="str">
        <f t="shared" si="3"/>
        <v>"(Verbruik) Personeel / leerlingen","","","50000000","","unspsc","M","","","","","K","","A010","","5012","6152000300","False",""</v>
      </c>
    </row>
    <row r="164" spans="1:38" x14ac:dyDescent="0.25">
      <c r="A164" s="1">
        <v>100</v>
      </c>
      <c r="C164" s="1" t="s">
        <v>31</v>
      </c>
      <c r="F164" s="1">
        <v>1</v>
      </c>
      <c r="G164" s="1" t="s">
        <v>156</v>
      </c>
      <c r="H164" s="8">
        <v>4</v>
      </c>
      <c r="J164" s="1" t="s">
        <v>159</v>
      </c>
      <c r="K164" s="1" t="s">
        <v>165</v>
      </c>
      <c r="O164" s="11">
        <v>50000000</v>
      </c>
      <c r="Q164" s="1" t="s">
        <v>35</v>
      </c>
      <c r="R164" s="1" t="s">
        <v>36</v>
      </c>
      <c r="W164" s="1" t="s">
        <v>42</v>
      </c>
      <c r="Y164" s="1" t="s">
        <v>37</v>
      </c>
      <c r="AA164" s="12">
        <v>5012</v>
      </c>
      <c r="AB164" s="1" t="s">
        <v>173</v>
      </c>
      <c r="AC164" s="12" t="s">
        <v>65</v>
      </c>
      <c r="AD164" s="13">
        <v>0.21</v>
      </c>
      <c r="AE164" s="14" t="s">
        <v>39</v>
      </c>
      <c r="AF164" s="15"/>
      <c r="AG164" s="1">
        <v>6151000400</v>
      </c>
      <c r="AH164" s="1" t="s">
        <v>160</v>
      </c>
      <c r="AI164" s="1" t="s">
        <v>44</v>
      </c>
      <c r="AL164" s="1" t="str">
        <f t="shared" si="3"/>
        <v>"Evenementen (bv infodagen &amp; personeelsfeest)","","","50000000","","unspsc","M","","","","","K","","A010","","5012","6151000400","False",""</v>
      </c>
    </row>
    <row r="165" spans="1:38" x14ac:dyDescent="0.25">
      <c r="A165" s="1">
        <v>100</v>
      </c>
      <c r="C165" s="1" t="s">
        <v>31</v>
      </c>
      <c r="F165" s="1">
        <v>1</v>
      </c>
      <c r="G165" s="1" t="s">
        <v>156</v>
      </c>
      <c r="H165" s="8">
        <v>6</v>
      </c>
      <c r="J165" s="1" t="s">
        <v>108</v>
      </c>
      <c r="K165" s="1" t="s">
        <v>165</v>
      </c>
      <c r="O165" s="11">
        <v>50000000</v>
      </c>
      <c r="Q165" s="1" t="s">
        <v>35</v>
      </c>
      <c r="R165" s="1" t="s">
        <v>36</v>
      </c>
      <c r="W165" s="1" t="s">
        <v>42</v>
      </c>
      <c r="Y165" s="1" t="s">
        <v>37</v>
      </c>
      <c r="AA165" s="12">
        <v>5012</v>
      </c>
      <c r="AB165" s="1" t="s">
        <v>173</v>
      </c>
      <c r="AC165" s="12" t="s">
        <v>65</v>
      </c>
      <c r="AD165" s="13">
        <v>0.21</v>
      </c>
      <c r="AE165" s="14" t="s">
        <v>39</v>
      </c>
      <c r="AF165" s="15"/>
      <c r="AG165" s="1">
        <v>6030000200</v>
      </c>
      <c r="AH165" s="1" t="s">
        <v>109</v>
      </c>
      <c r="AI165" s="1" t="s">
        <v>44</v>
      </c>
      <c r="AL165" s="1" t="str">
        <f t="shared" si="3"/>
        <v>"Doorverkoop onderwijs (niet max fac)","","","50000000","","unspsc","M","","","","","K","","A010","","5012","6030000200","False",""</v>
      </c>
    </row>
    <row r="166" spans="1:38" x14ac:dyDescent="0.25">
      <c r="A166" s="1">
        <v>100</v>
      </c>
      <c r="B166" s="2"/>
      <c r="C166" s="1" t="s">
        <v>31</v>
      </c>
      <c r="E166" s="1" t="s">
        <v>174</v>
      </c>
      <c r="F166" s="2">
        <v>5</v>
      </c>
      <c r="G166" s="2" t="s">
        <v>94</v>
      </c>
      <c r="J166" s="2" t="s">
        <v>33</v>
      </c>
      <c r="K166" s="2" t="s">
        <v>175</v>
      </c>
      <c r="O166" s="3">
        <v>52000000</v>
      </c>
      <c r="Q166" s="1" t="s">
        <v>35</v>
      </c>
      <c r="R166" s="1" t="s">
        <v>36</v>
      </c>
      <c r="Y166" s="1" t="s">
        <v>37</v>
      </c>
      <c r="Z166" s="2"/>
      <c r="AA166" s="4">
        <v>5214</v>
      </c>
      <c r="AB166" s="2" t="s">
        <v>176</v>
      </c>
      <c r="AC166" s="5" t="s">
        <v>65</v>
      </c>
      <c r="AD166" s="9">
        <v>0.21</v>
      </c>
      <c r="AE166" s="10" t="s">
        <v>39</v>
      </c>
      <c r="AF166" s="19"/>
      <c r="AG166" s="2"/>
      <c r="AH166" s="2"/>
      <c r="AI166" s="2" t="s">
        <v>40</v>
      </c>
      <c r="AJ166" s="2"/>
      <c r="AK166" s="2"/>
      <c r="AL166" s="1" t="str">
        <f t="shared" si="3"/>
        <v>"Maak je keuze","","","52000000","","unspsc","M","","","","","","","A010","","5214","","True",""</v>
      </c>
    </row>
    <row r="167" spans="1:38" x14ac:dyDescent="0.25">
      <c r="A167" s="1">
        <v>100</v>
      </c>
      <c r="C167" s="1" t="s">
        <v>31</v>
      </c>
      <c r="E167" s="1" t="s">
        <v>174</v>
      </c>
      <c r="F167" s="1">
        <v>5</v>
      </c>
      <c r="G167" s="1" t="s">
        <v>94</v>
      </c>
      <c r="H167" s="8">
        <v>9</v>
      </c>
      <c r="J167" s="1" t="s">
        <v>59</v>
      </c>
      <c r="K167" s="1" t="s">
        <v>175</v>
      </c>
      <c r="O167" s="11">
        <v>52000000</v>
      </c>
      <c r="Q167" s="1" t="s">
        <v>35</v>
      </c>
      <c r="R167" s="1" t="s">
        <v>36</v>
      </c>
      <c r="W167" s="1" t="s">
        <v>60</v>
      </c>
      <c r="Y167" s="1" t="s">
        <v>37</v>
      </c>
      <c r="AA167" s="12">
        <v>5214</v>
      </c>
      <c r="AB167" s="2" t="s">
        <v>176</v>
      </c>
      <c r="AC167" s="12" t="s">
        <v>65</v>
      </c>
      <c r="AD167" s="13">
        <v>0.21</v>
      </c>
      <c r="AE167" s="14" t="s">
        <v>39</v>
      </c>
      <c r="AG167" s="1">
        <v>2301000000</v>
      </c>
      <c r="AH167" s="1" t="s">
        <v>76</v>
      </c>
      <c r="AI167" s="1" t="s">
        <v>44</v>
      </c>
      <c r="AL167" s="1" t="str">
        <f t="shared" si="3"/>
        <v>"Investering","","","52000000","","unspsc","M","","","","","A","","A010","","5214","2301000000","False",""</v>
      </c>
    </row>
    <row r="168" spans="1:38" s="2" customFormat="1" x14ac:dyDescent="0.25">
      <c r="A168" s="1">
        <v>100</v>
      </c>
      <c r="B168" s="1"/>
      <c r="C168" s="1" t="s">
        <v>31</v>
      </c>
      <c r="D168" s="1"/>
      <c r="E168" s="1" t="s">
        <v>174</v>
      </c>
      <c r="F168" s="1">
        <v>5</v>
      </c>
      <c r="G168" s="1" t="s">
        <v>94</v>
      </c>
      <c r="H168" s="8"/>
      <c r="I168" s="8"/>
      <c r="J168" s="1" t="s">
        <v>33</v>
      </c>
      <c r="K168" s="1" t="s">
        <v>175</v>
      </c>
      <c r="L168" s="1"/>
      <c r="M168" s="1"/>
      <c r="N168" s="1"/>
      <c r="O168" s="11">
        <v>52000000</v>
      </c>
      <c r="P168" s="1"/>
      <c r="Q168" s="1" t="s">
        <v>35</v>
      </c>
      <c r="R168" s="1" t="s">
        <v>36</v>
      </c>
      <c r="S168" s="1"/>
      <c r="T168" s="1"/>
      <c r="U168" s="1"/>
      <c r="V168" s="1"/>
      <c r="W168" s="1"/>
      <c r="X168" s="1"/>
      <c r="Y168" s="1" t="s">
        <v>37</v>
      </c>
      <c r="Z168" s="1"/>
      <c r="AA168" s="20">
        <v>5214</v>
      </c>
      <c r="AB168" s="2" t="s">
        <v>176</v>
      </c>
      <c r="AC168" s="5" t="s">
        <v>65</v>
      </c>
      <c r="AD168" s="9">
        <v>0.21</v>
      </c>
      <c r="AE168" s="10" t="s">
        <v>39</v>
      </c>
      <c r="AF168" s="16"/>
      <c r="AG168" s="1"/>
      <c r="AH168" s="1"/>
      <c r="AI168" s="2" t="s">
        <v>40</v>
      </c>
      <c r="AJ168" s="1"/>
      <c r="AK168" s="1"/>
      <c r="AL168" s="1" t="str">
        <f t="shared" si="3"/>
        <v>"Maak je keuze","","","52000000","","unspsc","M","","","","","","","A010","","5214","","True",""</v>
      </c>
    </row>
    <row r="169" spans="1:38" x14ac:dyDescent="0.25">
      <c r="A169" s="1">
        <v>100</v>
      </c>
      <c r="C169" s="1" t="s">
        <v>31</v>
      </c>
      <c r="E169" s="1" t="s">
        <v>174</v>
      </c>
      <c r="F169" s="1">
        <v>5</v>
      </c>
      <c r="G169" s="1" t="s">
        <v>94</v>
      </c>
      <c r="H169" s="8">
        <v>9</v>
      </c>
      <c r="J169" s="1" t="s">
        <v>59</v>
      </c>
      <c r="K169" s="1" t="s">
        <v>175</v>
      </c>
      <c r="O169" s="11">
        <v>52000000</v>
      </c>
      <c r="Q169" s="1" t="s">
        <v>35</v>
      </c>
      <c r="R169" s="1" t="s">
        <v>36</v>
      </c>
      <c r="W169" s="1" t="s">
        <v>60</v>
      </c>
      <c r="Y169" s="1" t="s">
        <v>37</v>
      </c>
      <c r="AA169" s="12">
        <v>5214</v>
      </c>
      <c r="AB169" s="1" t="s">
        <v>176</v>
      </c>
      <c r="AC169" s="12" t="s">
        <v>65</v>
      </c>
      <c r="AD169" s="13">
        <v>0.21</v>
      </c>
      <c r="AE169" s="14" t="s">
        <v>39</v>
      </c>
      <c r="AG169" s="1">
        <v>2301000000</v>
      </c>
      <c r="AH169" s="1" t="s">
        <v>76</v>
      </c>
      <c r="AI169" s="1" t="s">
        <v>44</v>
      </c>
      <c r="AL169" s="1" t="str">
        <f t="shared" si="3"/>
        <v>"Investering","","","52000000","","unspsc","M","","","","","A","","A010","","5214","2301000000","False",""</v>
      </c>
    </row>
    <row r="170" spans="1:38" x14ac:dyDescent="0.25">
      <c r="A170" s="1">
        <v>100</v>
      </c>
      <c r="F170" s="1">
        <v>5</v>
      </c>
      <c r="G170" s="1" t="s">
        <v>94</v>
      </c>
      <c r="H170" s="8">
        <v>17</v>
      </c>
      <c r="J170" s="1" t="s">
        <v>41</v>
      </c>
      <c r="K170" s="1" t="s">
        <v>175</v>
      </c>
      <c r="O170" s="11">
        <v>52000000</v>
      </c>
      <c r="Q170" s="1" t="s">
        <v>35</v>
      </c>
      <c r="R170" s="1" t="s">
        <v>36</v>
      </c>
      <c r="W170" s="1" t="s">
        <v>42</v>
      </c>
      <c r="Y170" s="1" t="s">
        <v>37</v>
      </c>
      <c r="AA170" s="12">
        <v>5214</v>
      </c>
      <c r="AB170" s="1" t="s">
        <v>176</v>
      </c>
      <c r="AC170" s="12" t="s">
        <v>65</v>
      </c>
      <c r="AD170" s="13">
        <v>0.21</v>
      </c>
      <c r="AE170" s="14" t="s">
        <v>39</v>
      </c>
      <c r="AG170" s="1">
        <v>6141100100</v>
      </c>
      <c r="AH170" s="1" t="s">
        <v>66</v>
      </c>
      <c r="AI170" s="1" t="s">
        <v>44</v>
      </c>
      <c r="AL170" s="1" t="str">
        <f t="shared" si="3"/>
        <v>"Operationele werking","","","52000000","","unspsc","M","","","","","K","","A010","","5214","6141100100","False",""</v>
      </c>
    </row>
    <row r="171" spans="1:38" x14ac:dyDescent="0.25">
      <c r="A171" s="1">
        <v>100</v>
      </c>
      <c r="B171" s="2"/>
      <c r="C171" s="1" t="s">
        <v>62</v>
      </c>
      <c r="F171" s="2">
        <v>9</v>
      </c>
      <c r="G171" s="2" t="s">
        <v>177</v>
      </c>
      <c r="J171" s="2" t="s">
        <v>33</v>
      </c>
      <c r="K171" s="2" t="s">
        <v>178</v>
      </c>
      <c r="O171" s="3">
        <v>53000000</v>
      </c>
      <c r="Q171" s="1" t="s">
        <v>35</v>
      </c>
      <c r="R171" s="1" t="s">
        <v>36</v>
      </c>
      <c r="Y171" s="1" t="s">
        <v>37</v>
      </c>
      <c r="Z171" s="2"/>
      <c r="AA171" s="4">
        <v>5313</v>
      </c>
      <c r="AB171" s="2" t="s">
        <v>178</v>
      </c>
      <c r="AC171" s="5" t="s">
        <v>65</v>
      </c>
      <c r="AD171" s="9">
        <v>0.21</v>
      </c>
      <c r="AE171" s="10" t="s">
        <v>39</v>
      </c>
      <c r="AF171" s="7"/>
      <c r="AG171" s="2"/>
      <c r="AH171" s="2"/>
      <c r="AI171" s="2" t="s">
        <v>40</v>
      </c>
      <c r="AJ171" s="2"/>
      <c r="AK171" s="2"/>
      <c r="AL171" s="1" t="str">
        <f t="shared" si="3"/>
        <v>"Maak je keuze","","","53000000","","unspsc","M","","","","","","","A010","","5313","","True",""</v>
      </c>
    </row>
    <row r="172" spans="1:38" x14ac:dyDescent="0.25">
      <c r="A172" s="1">
        <v>100</v>
      </c>
      <c r="C172" s="1" t="s">
        <v>62</v>
      </c>
      <c r="D172" s="1" t="s">
        <v>123</v>
      </c>
      <c r="F172" s="1">
        <v>9</v>
      </c>
      <c r="G172" s="1" t="s">
        <v>177</v>
      </c>
      <c r="H172" s="8">
        <v>17</v>
      </c>
      <c r="J172" s="1" t="s">
        <v>41</v>
      </c>
      <c r="K172" s="1" t="s">
        <v>178</v>
      </c>
      <c r="O172" s="11">
        <v>53000000</v>
      </c>
      <c r="Q172" s="1" t="s">
        <v>35</v>
      </c>
      <c r="R172" s="1" t="s">
        <v>36</v>
      </c>
      <c r="W172" s="1" t="s">
        <v>42</v>
      </c>
      <c r="Y172" s="1" t="s">
        <v>37</v>
      </c>
      <c r="AA172" s="12">
        <v>5313</v>
      </c>
      <c r="AB172" s="1" t="s">
        <v>178</v>
      </c>
      <c r="AC172" s="12" t="s">
        <v>65</v>
      </c>
      <c r="AD172" s="13">
        <v>0.21</v>
      </c>
      <c r="AE172" s="14" t="s">
        <v>39</v>
      </c>
      <c r="AF172" s="15"/>
      <c r="AG172" s="1">
        <v>6145000100</v>
      </c>
      <c r="AH172" s="1" t="s">
        <v>144</v>
      </c>
      <c r="AI172" s="1" t="s">
        <v>44</v>
      </c>
      <c r="AL172" s="1" t="str">
        <f t="shared" si="3"/>
        <v>"Operationele werking","","","53000000","","unspsc","M","","","","","K","","A010","","5313","6145000100","False",""</v>
      </c>
    </row>
    <row r="173" spans="1:38" s="2" customFormat="1" x14ac:dyDescent="0.25">
      <c r="A173" s="1">
        <v>100</v>
      </c>
      <c r="B173" s="1"/>
      <c r="C173" s="1" t="s">
        <v>62</v>
      </c>
      <c r="D173" s="1"/>
      <c r="E173" s="1"/>
      <c r="F173" s="1">
        <v>9</v>
      </c>
      <c r="G173" s="1" t="s">
        <v>177</v>
      </c>
      <c r="H173" s="8">
        <v>2</v>
      </c>
      <c r="I173" s="8"/>
      <c r="J173" s="1" t="s">
        <v>57</v>
      </c>
      <c r="K173" s="1" t="s">
        <v>178</v>
      </c>
      <c r="L173" s="1"/>
      <c r="M173" s="1"/>
      <c r="N173" s="1"/>
      <c r="O173" s="11">
        <v>53000000</v>
      </c>
      <c r="P173" s="1"/>
      <c r="Q173" s="1" t="s">
        <v>35</v>
      </c>
      <c r="R173" s="1" t="s">
        <v>36</v>
      </c>
      <c r="S173" s="1"/>
      <c r="T173" s="1"/>
      <c r="U173" s="1"/>
      <c r="V173" s="1"/>
      <c r="W173" s="1" t="s">
        <v>42</v>
      </c>
      <c r="X173" s="1"/>
      <c r="Y173" s="1" t="s">
        <v>37</v>
      </c>
      <c r="Z173" s="1"/>
      <c r="AA173" s="12">
        <v>5313</v>
      </c>
      <c r="AB173" s="1" t="s">
        <v>178</v>
      </c>
      <c r="AC173" s="12" t="s">
        <v>65</v>
      </c>
      <c r="AD173" s="13">
        <v>0.21</v>
      </c>
      <c r="AE173" s="14" t="s">
        <v>39</v>
      </c>
      <c r="AF173" s="15"/>
      <c r="AG173" s="1">
        <v>6030000300</v>
      </c>
      <c r="AH173" s="1" t="s">
        <v>58</v>
      </c>
      <c r="AI173" s="1" t="s">
        <v>44</v>
      </c>
      <c r="AJ173" s="1"/>
      <c r="AK173" s="1"/>
      <c r="AL173" s="1" t="str">
        <f t="shared" si="3"/>
        <v>"Aankoop voor doorverkoop niet onderwijs","","","53000000","","unspsc","M","","","","","K","","A010","","5313","6030000300","False",""</v>
      </c>
    </row>
    <row r="174" spans="1:38" x14ac:dyDescent="0.25">
      <c r="A174" s="1">
        <v>100</v>
      </c>
      <c r="C174" s="1" t="s">
        <v>62</v>
      </c>
      <c r="F174" s="1">
        <v>9</v>
      </c>
      <c r="G174" s="1" t="s">
        <v>177</v>
      </c>
      <c r="H174" s="8">
        <v>3</v>
      </c>
      <c r="J174" s="1" t="s">
        <v>45</v>
      </c>
      <c r="K174" s="1" t="s">
        <v>178</v>
      </c>
      <c r="O174" s="11">
        <v>53000000</v>
      </c>
      <c r="Q174" s="1" t="s">
        <v>35</v>
      </c>
      <c r="R174" s="1" t="s">
        <v>36</v>
      </c>
      <c r="W174" s="1" t="s">
        <v>42</v>
      </c>
      <c r="Y174" s="1" t="s">
        <v>37</v>
      </c>
      <c r="AA174" s="12">
        <v>5313</v>
      </c>
      <c r="AB174" s="1" t="s">
        <v>178</v>
      </c>
      <c r="AC174" s="12" t="s">
        <v>65</v>
      </c>
      <c r="AD174" s="13">
        <v>0.21</v>
      </c>
      <c r="AE174" s="14" t="s">
        <v>39</v>
      </c>
      <c r="AF174" s="15"/>
      <c r="AG174" s="1">
        <v>6161000200</v>
      </c>
      <c r="AH174" s="1" t="s">
        <v>45</v>
      </c>
      <c r="AI174" s="1" t="s">
        <v>44</v>
      </c>
      <c r="AL174" s="1" t="str">
        <f t="shared" si="3"/>
        <v>"Didactisch materiaal","","","53000000","","unspsc","M","","","","","K","","A010","","5313","6161000200","False",""</v>
      </c>
    </row>
    <row r="175" spans="1:38" x14ac:dyDescent="0.25">
      <c r="A175" s="1">
        <v>100</v>
      </c>
      <c r="C175" s="1" t="s">
        <v>62</v>
      </c>
      <c r="F175" s="1">
        <v>9</v>
      </c>
      <c r="G175" s="1" t="s">
        <v>177</v>
      </c>
      <c r="H175" s="8">
        <v>6</v>
      </c>
      <c r="J175" s="1" t="s">
        <v>108</v>
      </c>
      <c r="K175" s="1" t="s">
        <v>178</v>
      </c>
      <c r="O175" s="11">
        <v>53000000</v>
      </c>
      <c r="Q175" s="1" t="s">
        <v>35</v>
      </c>
      <c r="R175" s="1" t="s">
        <v>36</v>
      </c>
      <c r="W175" s="1" t="s">
        <v>42</v>
      </c>
      <c r="Y175" s="1" t="s">
        <v>37</v>
      </c>
      <c r="AA175" s="12">
        <v>5313</v>
      </c>
      <c r="AB175" s="1" t="s">
        <v>178</v>
      </c>
      <c r="AC175" s="12" t="s">
        <v>65</v>
      </c>
      <c r="AD175" s="13">
        <v>0.21</v>
      </c>
      <c r="AE175" s="14" t="s">
        <v>39</v>
      </c>
      <c r="AF175" s="15"/>
      <c r="AG175" s="1">
        <v>6030000200</v>
      </c>
      <c r="AH175" s="1" t="s">
        <v>109</v>
      </c>
      <c r="AI175" s="1" t="s">
        <v>44</v>
      </c>
      <c r="AL175" s="1" t="str">
        <f t="shared" si="3"/>
        <v>"Doorverkoop onderwijs (niet max fac)","","","53000000","","unspsc","M","","","","","K","","A010","","5313","6030000200","False",""</v>
      </c>
    </row>
    <row r="176" spans="1:38" x14ac:dyDescent="0.25">
      <c r="A176" s="1">
        <v>100</v>
      </c>
      <c r="C176" s="1" t="s">
        <v>62</v>
      </c>
      <c r="F176" s="1">
        <v>9</v>
      </c>
      <c r="G176" s="1" t="s">
        <v>177</v>
      </c>
      <c r="H176" s="8">
        <v>7</v>
      </c>
      <c r="J176" s="1" t="s">
        <v>119</v>
      </c>
      <c r="K176" s="1" t="s">
        <v>178</v>
      </c>
      <c r="O176" s="11">
        <v>53000000</v>
      </c>
      <c r="Q176" s="1" t="s">
        <v>35</v>
      </c>
      <c r="R176" s="1" t="s">
        <v>36</v>
      </c>
      <c r="W176" s="1" t="s">
        <v>42</v>
      </c>
      <c r="Y176" s="1" t="s">
        <v>37</v>
      </c>
      <c r="AA176" s="12">
        <v>5313</v>
      </c>
      <c r="AB176" s="1" t="s">
        <v>178</v>
      </c>
      <c r="AC176" s="12" t="s">
        <v>65</v>
      </c>
      <c r="AD176" s="13">
        <v>0.21</v>
      </c>
      <c r="AE176" s="14" t="s">
        <v>39</v>
      </c>
      <c r="AF176" s="15"/>
      <c r="AG176" s="1">
        <v>6030000100</v>
      </c>
      <c r="AH176" s="1" t="s">
        <v>120</v>
      </c>
      <c r="AI176" s="1" t="s">
        <v>44</v>
      </c>
      <c r="AL176" s="1" t="str">
        <f t="shared" si="3"/>
        <v>"Maximumfactuur","","","53000000","","unspsc","M","","","","","K","","A010","","5313","6030000100","False",""</v>
      </c>
    </row>
    <row r="177" spans="1:38" x14ac:dyDescent="0.25">
      <c r="A177" s="1">
        <v>100</v>
      </c>
      <c r="B177" s="2"/>
      <c r="C177" s="1" t="s">
        <v>62</v>
      </c>
      <c r="F177" s="2">
        <v>9</v>
      </c>
      <c r="G177" s="2" t="s">
        <v>177</v>
      </c>
      <c r="J177" s="2" t="s">
        <v>33</v>
      </c>
      <c r="K177" s="2" t="s">
        <v>178</v>
      </c>
      <c r="O177" s="3">
        <v>53000000</v>
      </c>
      <c r="Q177" s="1" t="s">
        <v>35</v>
      </c>
      <c r="R177" s="1" t="s">
        <v>36</v>
      </c>
      <c r="Y177" s="1" t="s">
        <v>37</v>
      </c>
      <c r="Z177" s="2"/>
      <c r="AA177" s="4" t="s">
        <v>179</v>
      </c>
      <c r="AB177" s="2" t="s">
        <v>180</v>
      </c>
      <c r="AC177" s="5" t="s">
        <v>104</v>
      </c>
      <c r="AD177" s="9">
        <v>0.21</v>
      </c>
      <c r="AE177" s="10" t="s">
        <v>39</v>
      </c>
      <c r="AF177" s="7"/>
      <c r="AG177" s="2"/>
      <c r="AH177" s="2"/>
      <c r="AI177" s="2" t="s">
        <v>40</v>
      </c>
      <c r="AJ177" s="2"/>
      <c r="AK177" s="2"/>
      <c r="AL177" s="1" t="str">
        <f t="shared" si="3"/>
        <v>"Maak je keuze","","","53000000","","unspsc","M","","","","","","","A010","","5313X","","True",""</v>
      </c>
    </row>
    <row r="178" spans="1:38" x14ac:dyDescent="0.25">
      <c r="A178" s="1">
        <v>100</v>
      </c>
      <c r="C178" s="1" t="s">
        <v>62</v>
      </c>
      <c r="D178" s="1" t="s">
        <v>123</v>
      </c>
      <c r="F178" s="1">
        <v>9</v>
      </c>
      <c r="G178" s="1" t="s">
        <v>177</v>
      </c>
      <c r="H178" s="8">
        <v>17</v>
      </c>
      <c r="J178" s="1" t="s">
        <v>41</v>
      </c>
      <c r="K178" s="1" t="s">
        <v>178</v>
      </c>
      <c r="O178" s="11">
        <v>53000000</v>
      </c>
      <c r="Q178" s="1" t="s">
        <v>35</v>
      </c>
      <c r="R178" s="1" t="s">
        <v>36</v>
      </c>
      <c r="W178" s="1" t="s">
        <v>42</v>
      </c>
      <c r="Y178" s="1" t="s">
        <v>37</v>
      </c>
      <c r="AA178" s="12" t="s">
        <v>179</v>
      </c>
      <c r="AB178" s="1" t="s">
        <v>180</v>
      </c>
      <c r="AC178" s="12" t="s">
        <v>104</v>
      </c>
      <c r="AD178" s="13">
        <v>0.21</v>
      </c>
      <c r="AE178" s="14" t="s">
        <v>39</v>
      </c>
      <c r="AF178" s="15"/>
      <c r="AG178" s="1">
        <v>6145000100</v>
      </c>
      <c r="AH178" s="1" t="s">
        <v>144</v>
      </c>
      <c r="AI178" s="1" t="s">
        <v>44</v>
      </c>
      <c r="AL178" s="1" t="str">
        <f t="shared" si="3"/>
        <v>"Operationele werking","","","53000000","","unspsc","M","","","","","K","","A010","","5313X","6145000100","False",""</v>
      </c>
    </row>
    <row r="179" spans="1:38" s="2" customFormat="1" x14ac:dyDescent="0.25">
      <c r="A179" s="1">
        <v>100</v>
      </c>
      <c r="B179" s="1"/>
      <c r="C179" s="1" t="s">
        <v>62</v>
      </c>
      <c r="D179" s="1"/>
      <c r="E179" s="1"/>
      <c r="F179" s="1">
        <v>9</v>
      </c>
      <c r="G179" s="1" t="s">
        <v>177</v>
      </c>
      <c r="H179" s="8">
        <v>2</v>
      </c>
      <c r="I179" s="8"/>
      <c r="J179" s="1" t="s">
        <v>57</v>
      </c>
      <c r="K179" s="1" t="s">
        <v>178</v>
      </c>
      <c r="L179" s="1"/>
      <c r="M179" s="1"/>
      <c r="N179" s="1"/>
      <c r="O179" s="11">
        <v>53000000</v>
      </c>
      <c r="P179" s="1"/>
      <c r="Q179" s="1" t="s">
        <v>35</v>
      </c>
      <c r="R179" s="1" t="s">
        <v>36</v>
      </c>
      <c r="S179" s="1"/>
      <c r="T179" s="1"/>
      <c r="U179" s="1"/>
      <c r="V179" s="1"/>
      <c r="W179" s="1" t="s">
        <v>42</v>
      </c>
      <c r="X179" s="1"/>
      <c r="Y179" s="1" t="s">
        <v>37</v>
      </c>
      <c r="Z179" s="1"/>
      <c r="AA179" s="12" t="s">
        <v>179</v>
      </c>
      <c r="AB179" s="1" t="s">
        <v>180</v>
      </c>
      <c r="AC179" s="12" t="s">
        <v>104</v>
      </c>
      <c r="AD179" s="13">
        <v>0.21</v>
      </c>
      <c r="AE179" s="14" t="s">
        <v>39</v>
      </c>
      <c r="AF179" s="15"/>
      <c r="AG179" s="1">
        <v>6030000300</v>
      </c>
      <c r="AH179" s="1" t="s">
        <v>58</v>
      </c>
      <c r="AI179" s="1" t="s">
        <v>44</v>
      </c>
      <c r="AJ179" s="1"/>
      <c r="AK179" s="1"/>
      <c r="AL179" s="1" t="str">
        <f t="shared" si="3"/>
        <v>"Aankoop voor doorverkoop niet onderwijs","","","53000000","","unspsc","M","","","","","K","","A010","","5313X","6030000300","False",""</v>
      </c>
    </row>
    <row r="180" spans="1:38" x14ac:dyDescent="0.25">
      <c r="A180" s="1">
        <v>100</v>
      </c>
      <c r="C180" s="1" t="s">
        <v>62</v>
      </c>
      <c r="F180" s="1">
        <v>9</v>
      </c>
      <c r="G180" s="1" t="s">
        <v>177</v>
      </c>
      <c r="H180" s="8">
        <v>3</v>
      </c>
      <c r="J180" s="1" t="s">
        <v>45</v>
      </c>
      <c r="K180" s="1" t="s">
        <v>178</v>
      </c>
      <c r="O180" s="11">
        <v>53000000</v>
      </c>
      <c r="Q180" s="1" t="s">
        <v>35</v>
      </c>
      <c r="R180" s="1" t="s">
        <v>36</v>
      </c>
      <c r="W180" s="1" t="s">
        <v>42</v>
      </c>
      <c r="Y180" s="1" t="s">
        <v>37</v>
      </c>
      <c r="AA180" s="12" t="s">
        <v>179</v>
      </c>
      <c r="AB180" s="1" t="s">
        <v>180</v>
      </c>
      <c r="AC180" s="12" t="s">
        <v>104</v>
      </c>
      <c r="AD180" s="13">
        <v>0.21</v>
      </c>
      <c r="AE180" s="14" t="s">
        <v>39</v>
      </c>
      <c r="AF180" s="15"/>
      <c r="AG180" s="1">
        <v>6161000200</v>
      </c>
      <c r="AH180" s="1" t="s">
        <v>45</v>
      </c>
      <c r="AI180" s="1" t="s">
        <v>44</v>
      </c>
      <c r="AL180" s="1" t="str">
        <f t="shared" si="3"/>
        <v>"Didactisch materiaal","","","53000000","","unspsc","M","","","","","K","","A010","","5313X","6161000200","False",""</v>
      </c>
    </row>
    <row r="181" spans="1:38" x14ac:dyDescent="0.25">
      <c r="A181" s="1">
        <v>100</v>
      </c>
      <c r="C181" s="1" t="s">
        <v>62</v>
      </c>
      <c r="F181" s="1">
        <v>9</v>
      </c>
      <c r="G181" s="1" t="s">
        <v>177</v>
      </c>
      <c r="H181" s="8">
        <v>6</v>
      </c>
      <c r="J181" s="1" t="s">
        <v>108</v>
      </c>
      <c r="K181" s="1" t="s">
        <v>178</v>
      </c>
      <c r="O181" s="11">
        <v>53000000</v>
      </c>
      <c r="Q181" s="1" t="s">
        <v>35</v>
      </c>
      <c r="R181" s="1" t="s">
        <v>36</v>
      </c>
      <c r="W181" s="1" t="s">
        <v>42</v>
      </c>
      <c r="Y181" s="1" t="s">
        <v>37</v>
      </c>
      <c r="AA181" s="12" t="s">
        <v>179</v>
      </c>
      <c r="AB181" s="1" t="s">
        <v>180</v>
      </c>
      <c r="AC181" s="12" t="s">
        <v>104</v>
      </c>
      <c r="AD181" s="13">
        <v>0.21</v>
      </c>
      <c r="AE181" s="14" t="s">
        <v>39</v>
      </c>
      <c r="AF181" s="15"/>
      <c r="AG181" s="1">
        <v>6030000200</v>
      </c>
      <c r="AH181" s="1" t="s">
        <v>109</v>
      </c>
      <c r="AI181" s="1" t="s">
        <v>44</v>
      </c>
      <c r="AL181" s="1" t="str">
        <f t="shared" si="3"/>
        <v>"Doorverkoop onderwijs (niet max fac)","","","53000000","","unspsc","M","","","","","K","","A010","","5313X","6030000200","False",""</v>
      </c>
    </row>
    <row r="182" spans="1:38" x14ac:dyDescent="0.25">
      <c r="A182" s="1">
        <v>100</v>
      </c>
      <c r="C182" s="1" t="s">
        <v>62</v>
      </c>
      <c r="F182" s="1">
        <v>9</v>
      </c>
      <c r="G182" s="1" t="s">
        <v>177</v>
      </c>
      <c r="H182" s="8">
        <v>7</v>
      </c>
      <c r="J182" s="1" t="s">
        <v>119</v>
      </c>
      <c r="K182" s="1" t="s">
        <v>178</v>
      </c>
      <c r="O182" s="11">
        <v>53000000</v>
      </c>
      <c r="Q182" s="1" t="s">
        <v>35</v>
      </c>
      <c r="R182" s="1" t="s">
        <v>36</v>
      </c>
      <c r="W182" s="1" t="s">
        <v>42</v>
      </c>
      <c r="Y182" s="1" t="s">
        <v>37</v>
      </c>
      <c r="AA182" s="12" t="s">
        <v>179</v>
      </c>
      <c r="AB182" s="1" t="s">
        <v>180</v>
      </c>
      <c r="AC182" s="12" t="s">
        <v>104</v>
      </c>
      <c r="AD182" s="13">
        <v>0.21</v>
      </c>
      <c r="AE182" s="14" t="s">
        <v>39</v>
      </c>
      <c r="AF182" s="15"/>
      <c r="AG182" s="1">
        <v>6030000100</v>
      </c>
      <c r="AH182" s="1" t="s">
        <v>120</v>
      </c>
      <c r="AI182" s="1" t="s">
        <v>44</v>
      </c>
      <c r="AL182" s="1" t="str">
        <f t="shared" si="3"/>
        <v>"Maximumfactuur","","","53000000","","unspsc","M","","","","","K","","A010","","5313X","6030000100","False",""</v>
      </c>
    </row>
    <row r="183" spans="1:38" x14ac:dyDescent="0.25">
      <c r="A183" s="1">
        <v>100</v>
      </c>
      <c r="B183" s="2"/>
      <c r="C183" s="1" t="s">
        <v>31</v>
      </c>
      <c r="F183" s="2">
        <v>3</v>
      </c>
      <c r="G183" s="2" t="s">
        <v>148</v>
      </c>
      <c r="J183" s="2" t="s">
        <v>33</v>
      </c>
      <c r="K183" s="2" t="s">
        <v>181</v>
      </c>
      <c r="O183" s="3">
        <v>55000000</v>
      </c>
      <c r="Q183" s="1" t="s">
        <v>35</v>
      </c>
      <c r="R183" s="1" t="s">
        <v>36</v>
      </c>
      <c r="Y183" s="1" t="s">
        <v>37</v>
      </c>
      <c r="Z183" s="2"/>
      <c r="AA183" s="4">
        <v>5511</v>
      </c>
      <c r="AB183" s="2" t="s">
        <v>182</v>
      </c>
      <c r="AC183" s="5" t="s">
        <v>138</v>
      </c>
      <c r="AD183" s="9">
        <v>0.06</v>
      </c>
      <c r="AE183" s="10" t="s">
        <v>53</v>
      </c>
      <c r="AF183" s="7"/>
      <c r="AG183" s="2"/>
      <c r="AH183" s="2"/>
      <c r="AI183" s="2" t="s">
        <v>40</v>
      </c>
      <c r="AJ183" s="2"/>
      <c r="AK183" s="2"/>
      <c r="AL183" s="1" t="str">
        <f t="shared" si="3"/>
        <v>"Maak je keuze","","","55000000","","unspsc","M","","","","","","","A010","","5511","","True",""</v>
      </c>
    </row>
    <row r="184" spans="1:38" x14ac:dyDescent="0.25">
      <c r="A184" s="1">
        <v>100</v>
      </c>
      <c r="C184" s="1" t="s">
        <v>31</v>
      </c>
      <c r="F184" s="1">
        <v>3</v>
      </c>
      <c r="G184" s="1" t="s">
        <v>148</v>
      </c>
      <c r="H184" s="8">
        <v>17</v>
      </c>
      <c r="J184" s="1" t="s">
        <v>41</v>
      </c>
      <c r="K184" s="1" t="s">
        <v>181</v>
      </c>
      <c r="O184" s="11">
        <v>55000000</v>
      </c>
      <c r="Q184" s="1" t="s">
        <v>35</v>
      </c>
      <c r="R184" s="1" t="s">
        <v>36</v>
      </c>
      <c r="W184" s="1" t="s">
        <v>42</v>
      </c>
      <c r="Y184" s="1" t="s">
        <v>37</v>
      </c>
      <c r="AA184" s="12">
        <v>5511</v>
      </c>
      <c r="AB184" s="1" t="s">
        <v>182</v>
      </c>
      <c r="AC184" s="12" t="s">
        <v>138</v>
      </c>
      <c r="AD184" s="13">
        <v>0.06</v>
      </c>
      <c r="AE184" s="14" t="s">
        <v>53</v>
      </c>
      <c r="AF184" s="15"/>
      <c r="AG184" s="1">
        <v>6146000100</v>
      </c>
      <c r="AH184" s="1" t="s">
        <v>183</v>
      </c>
      <c r="AI184" s="1" t="s">
        <v>44</v>
      </c>
      <c r="AL184" s="1" t="str">
        <f t="shared" si="3"/>
        <v>"Operationele werking","","","55000000","","unspsc","M","","","","","K","","A010","","5511","6146000100","False",""</v>
      </c>
    </row>
    <row r="185" spans="1:38" s="2" customFormat="1" x14ac:dyDescent="0.25">
      <c r="A185" s="1">
        <v>100</v>
      </c>
      <c r="B185" s="1"/>
      <c r="C185" s="1" t="s">
        <v>31</v>
      </c>
      <c r="D185" s="1"/>
      <c r="E185" s="1"/>
      <c r="F185" s="1">
        <v>3</v>
      </c>
      <c r="G185" s="1" t="s">
        <v>148</v>
      </c>
      <c r="H185" s="8">
        <v>6</v>
      </c>
      <c r="I185" s="8"/>
      <c r="J185" s="1" t="s">
        <v>108</v>
      </c>
      <c r="K185" s="1" t="s">
        <v>181</v>
      </c>
      <c r="L185" s="1"/>
      <c r="M185" s="1"/>
      <c r="N185" s="1"/>
      <c r="O185" s="11">
        <v>55000000</v>
      </c>
      <c r="P185" s="1"/>
      <c r="Q185" s="1" t="s">
        <v>35</v>
      </c>
      <c r="R185" s="1" t="s">
        <v>36</v>
      </c>
      <c r="S185" s="1"/>
      <c r="T185" s="1"/>
      <c r="U185" s="1"/>
      <c r="V185" s="1"/>
      <c r="W185" s="1" t="s">
        <v>42</v>
      </c>
      <c r="X185" s="1"/>
      <c r="Y185" s="1" t="s">
        <v>37</v>
      </c>
      <c r="Z185" s="1"/>
      <c r="AA185" s="12">
        <v>5511</v>
      </c>
      <c r="AB185" s="1" t="s">
        <v>182</v>
      </c>
      <c r="AC185" s="12" t="s">
        <v>138</v>
      </c>
      <c r="AD185" s="13">
        <v>0.06</v>
      </c>
      <c r="AE185" s="14" t="s">
        <v>53</v>
      </c>
      <c r="AF185" s="15"/>
      <c r="AG185" s="1">
        <v>6030000200</v>
      </c>
      <c r="AH185" s="1" t="s">
        <v>109</v>
      </c>
      <c r="AI185" s="1" t="s">
        <v>44</v>
      </c>
      <c r="AJ185" s="1"/>
      <c r="AK185" s="1"/>
      <c r="AL185" s="1" t="str">
        <f t="shared" si="3"/>
        <v>"Doorverkoop onderwijs (niet max fac)","","","55000000","","unspsc","M","","","","","K","","A010","","5511","6030000200","False",""</v>
      </c>
    </row>
    <row r="186" spans="1:38" x14ac:dyDescent="0.25">
      <c r="A186" s="1">
        <v>100</v>
      </c>
      <c r="B186" s="2"/>
      <c r="C186" s="1" t="s">
        <v>31</v>
      </c>
      <c r="F186" s="2">
        <v>3</v>
      </c>
      <c r="G186" s="2" t="s">
        <v>148</v>
      </c>
      <c r="J186" s="2" t="s">
        <v>33</v>
      </c>
      <c r="K186" s="2" t="s">
        <v>181</v>
      </c>
      <c r="O186" s="3">
        <v>55000000</v>
      </c>
      <c r="Q186" s="1" t="s">
        <v>35</v>
      </c>
      <c r="R186" s="1" t="s">
        <v>36</v>
      </c>
      <c r="Y186" s="1" t="s">
        <v>37</v>
      </c>
      <c r="Z186" s="2"/>
      <c r="AA186" s="4" t="s">
        <v>184</v>
      </c>
      <c r="AB186" s="2" t="s">
        <v>185</v>
      </c>
      <c r="AC186" s="5" t="s">
        <v>186</v>
      </c>
      <c r="AD186" s="9">
        <v>0.06</v>
      </c>
      <c r="AE186" s="10" t="s">
        <v>53</v>
      </c>
      <c r="AF186" s="7"/>
      <c r="AG186" s="2"/>
      <c r="AH186" s="2"/>
      <c r="AI186" s="2" t="s">
        <v>40</v>
      </c>
      <c r="AJ186" s="2"/>
      <c r="AK186" s="2"/>
      <c r="AL186" s="1" t="str">
        <f t="shared" si="3"/>
        <v>"Maak je keuze","","","55000000","","unspsc","M","","","","","","","A010","","5511X","","True",""</v>
      </c>
    </row>
    <row r="187" spans="1:38" x14ac:dyDescent="0.25">
      <c r="A187" s="1">
        <v>100</v>
      </c>
      <c r="C187" s="1" t="s">
        <v>31</v>
      </c>
      <c r="F187" s="1">
        <v>3</v>
      </c>
      <c r="G187" s="1" t="s">
        <v>148</v>
      </c>
      <c r="H187" s="8">
        <v>17</v>
      </c>
      <c r="J187" s="1" t="s">
        <v>41</v>
      </c>
      <c r="K187" s="1" t="s">
        <v>181</v>
      </c>
      <c r="O187" s="11">
        <v>55000000</v>
      </c>
      <c r="Q187" s="1" t="s">
        <v>35</v>
      </c>
      <c r="R187" s="1" t="s">
        <v>36</v>
      </c>
      <c r="W187" s="1" t="s">
        <v>42</v>
      </c>
      <c r="Y187" s="1" t="s">
        <v>37</v>
      </c>
      <c r="AA187" s="12" t="s">
        <v>184</v>
      </c>
      <c r="AB187" s="1" t="s">
        <v>185</v>
      </c>
      <c r="AC187" s="12" t="s">
        <v>186</v>
      </c>
      <c r="AD187" s="13">
        <v>0.06</v>
      </c>
      <c r="AE187" s="14" t="s">
        <v>53</v>
      </c>
      <c r="AF187" s="15"/>
      <c r="AG187" s="1">
        <v>6146000100</v>
      </c>
      <c r="AH187" s="1" t="s">
        <v>183</v>
      </c>
      <c r="AI187" s="1" t="s">
        <v>44</v>
      </c>
      <c r="AL187" s="1" t="str">
        <f t="shared" si="3"/>
        <v>"Operationele werking","","","55000000","","unspsc","M","","","","","K","","A010","","5511X","6146000100","False",""</v>
      </c>
    </row>
    <row r="188" spans="1:38" x14ac:dyDescent="0.25">
      <c r="A188" s="1">
        <v>100</v>
      </c>
      <c r="C188" s="1" t="s">
        <v>31</v>
      </c>
      <c r="F188" s="1">
        <v>3</v>
      </c>
      <c r="G188" s="1" t="s">
        <v>148</v>
      </c>
      <c r="H188" s="8">
        <v>6</v>
      </c>
      <c r="J188" s="1" t="s">
        <v>108</v>
      </c>
      <c r="K188" s="1" t="s">
        <v>181</v>
      </c>
      <c r="O188" s="11">
        <v>55000000</v>
      </c>
      <c r="Q188" s="1" t="s">
        <v>35</v>
      </c>
      <c r="R188" s="1" t="s">
        <v>36</v>
      </c>
      <c r="W188" s="1" t="s">
        <v>42</v>
      </c>
      <c r="Y188" s="1" t="s">
        <v>37</v>
      </c>
      <c r="AA188" s="12" t="s">
        <v>184</v>
      </c>
      <c r="AB188" s="1" t="s">
        <v>185</v>
      </c>
      <c r="AC188" s="12" t="s">
        <v>186</v>
      </c>
      <c r="AD188" s="13">
        <v>0.06</v>
      </c>
      <c r="AE188" s="14" t="s">
        <v>53</v>
      </c>
      <c r="AF188" s="15"/>
      <c r="AG188" s="1">
        <v>6030000200</v>
      </c>
      <c r="AH188" s="1" t="s">
        <v>109</v>
      </c>
      <c r="AI188" s="1" t="s">
        <v>44</v>
      </c>
      <c r="AL188" s="1" t="str">
        <f t="shared" si="3"/>
        <v>"Doorverkoop onderwijs (niet max fac)","","","55000000","","unspsc","M","","","","","K","","A010","","5511X","6030000200","False",""</v>
      </c>
    </row>
    <row r="189" spans="1:38" x14ac:dyDescent="0.25">
      <c r="A189" s="1">
        <v>100</v>
      </c>
      <c r="B189" s="2"/>
      <c r="C189" s="1" t="s">
        <v>31</v>
      </c>
      <c r="F189" s="2">
        <v>3</v>
      </c>
      <c r="G189" s="2" t="s">
        <v>148</v>
      </c>
      <c r="J189" s="2" t="s">
        <v>33</v>
      </c>
      <c r="K189" s="2" t="s">
        <v>187</v>
      </c>
      <c r="O189" s="3">
        <v>55000000</v>
      </c>
      <c r="Q189" s="1" t="s">
        <v>35</v>
      </c>
      <c r="R189" s="1" t="s">
        <v>36</v>
      </c>
      <c r="Y189" s="1" t="s">
        <v>37</v>
      </c>
      <c r="Z189" s="2"/>
      <c r="AA189" s="4">
        <v>5510</v>
      </c>
      <c r="AB189" s="2" t="s">
        <v>188</v>
      </c>
      <c r="AC189" s="5" t="s">
        <v>38</v>
      </c>
      <c r="AD189" s="9">
        <v>0.06</v>
      </c>
      <c r="AE189" s="10" t="s">
        <v>39</v>
      </c>
      <c r="AF189" s="7"/>
      <c r="AG189" s="2"/>
      <c r="AH189" s="2"/>
      <c r="AI189" s="2" t="s">
        <v>40</v>
      </c>
      <c r="AJ189" s="2"/>
      <c r="AK189" s="2"/>
      <c r="AL189" s="1" t="str">
        <f t="shared" si="3"/>
        <v>"Maak je keuze","","","55000000","","unspsc","M","","","","","","","A010","","5510","","True",""</v>
      </c>
    </row>
    <row r="190" spans="1:38" x14ac:dyDescent="0.25">
      <c r="A190" s="1">
        <v>100</v>
      </c>
      <c r="C190" s="1" t="s">
        <v>31</v>
      </c>
      <c r="F190" s="1">
        <v>3</v>
      </c>
      <c r="G190" s="1" t="s">
        <v>148</v>
      </c>
      <c r="H190" s="8">
        <v>3</v>
      </c>
      <c r="J190" s="1" t="s">
        <v>45</v>
      </c>
      <c r="K190" s="1" t="s">
        <v>187</v>
      </c>
      <c r="O190" s="11">
        <v>55000000</v>
      </c>
      <c r="Q190" s="1" t="s">
        <v>35</v>
      </c>
      <c r="R190" s="1" t="s">
        <v>36</v>
      </c>
      <c r="W190" s="1" t="s">
        <v>42</v>
      </c>
      <c r="Y190" s="1" t="s">
        <v>37</v>
      </c>
      <c r="AA190" s="12">
        <v>5510</v>
      </c>
      <c r="AB190" s="1" t="s">
        <v>188</v>
      </c>
      <c r="AC190" s="12" t="s">
        <v>38</v>
      </c>
      <c r="AD190" s="13">
        <v>0.06</v>
      </c>
      <c r="AE190" s="14" t="s">
        <v>39</v>
      </c>
      <c r="AF190" s="15"/>
      <c r="AG190" s="1">
        <v>6161000200</v>
      </c>
      <c r="AH190" s="1" t="s">
        <v>45</v>
      </c>
      <c r="AI190" s="1" t="s">
        <v>44</v>
      </c>
      <c r="AL190" s="1" t="str">
        <f t="shared" si="3"/>
        <v>"Didactisch materiaal","","","55000000","","unspsc","M","","","","","K","","A010","","5510","6161000200","False",""</v>
      </c>
    </row>
    <row r="191" spans="1:38" s="2" customFormat="1" x14ac:dyDescent="0.25">
      <c r="A191" s="1">
        <v>100</v>
      </c>
      <c r="B191" s="1"/>
      <c r="C191" s="1" t="s">
        <v>31</v>
      </c>
      <c r="D191" s="1"/>
      <c r="E191" s="1"/>
      <c r="F191" s="1">
        <v>3</v>
      </c>
      <c r="G191" s="1" t="s">
        <v>148</v>
      </c>
      <c r="H191" s="8">
        <v>6</v>
      </c>
      <c r="I191" s="8"/>
      <c r="J191" s="1" t="s">
        <v>108</v>
      </c>
      <c r="K191" s="1" t="s">
        <v>187</v>
      </c>
      <c r="L191" s="1"/>
      <c r="M191" s="1"/>
      <c r="N191" s="1"/>
      <c r="O191" s="11">
        <v>55000000</v>
      </c>
      <c r="P191" s="1"/>
      <c r="Q191" s="1" t="s">
        <v>35</v>
      </c>
      <c r="R191" s="1" t="s">
        <v>36</v>
      </c>
      <c r="S191" s="1"/>
      <c r="T191" s="1"/>
      <c r="U191" s="1"/>
      <c r="V191" s="1"/>
      <c r="W191" s="1" t="s">
        <v>42</v>
      </c>
      <c r="X191" s="1"/>
      <c r="Y191" s="1" t="s">
        <v>37</v>
      </c>
      <c r="Z191" s="1"/>
      <c r="AA191" s="12">
        <v>5510</v>
      </c>
      <c r="AB191" s="1" t="s">
        <v>188</v>
      </c>
      <c r="AC191" s="12" t="s">
        <v>38</v>
      </c>
      <c r="AD191" s="13">
        <v>0.06</v>
      </c>
      <c r="AE191" s="14" t="s">
        <v>39</v>
      </c>
      <c r="AF191" s="15"/>
      <c r="AG191" s="1">
        <v>6030000200</v>
      </c>
      <c r="AH191" s="1" t="s">
        <v>109</v>
      </c>
      <c r="AI191" s="1" t="s">
        <v>44</v>
      </c>
      <c r="AJ191" s="1"/>
      <c r="AK191" s="1"/>
      <c r="AL191" s="1" t="str">
        <f t="shared" si="3"/>
        <v>"Doorverkoop onderwijs (niet max fac)","","","55000000","","unspsc","M","","","","","K","","A010","","5510","6030000200","False",""</v>
      </c>
    </row>
    <row r="192" spans="1:38" x14ac:dyDescent="0.25">
      <c r="A192" s="1">
        <v>100</v>
      </c>
      <c r="B192" s="2"/>
      <c r="C192" s="1" t="s">
        <v>31</v>
      </c>
      <c r="F192" s="2">
        <v>3</v>
      </c>
      <c r="G192" s="2" t="s">
        <v>148</v>
      </c>
      <c r="J192" s="2" t="s">
        <v>33</v>
      </c>
      <c r="K192" s="2" t="s">
        <v>187</v>
      </c>
      <c r="O192" s="3">
        <v>55000000</v>
      </c>
      <c r="Q192" s="1" t="s">
        <v>35</v>
      </c>
      <c r="R192" s="1" t="s">
        <v>36</v>
      </c>
      <c r="Y192" s="1" t="s">
        <v>37</v>
      </c>
      <c r="Z192" s="2"/>
      <c r="AA192" s="4" t="s">
        <v>189</v>
      </c>
      <c r="AB192" s="2" t="s">
        <v>190</v>
      </c>
      <c r="AC192" s="5" t="s">
        <v>186</v>
      </c>
      <c r="AD192" s="9">
        <v>0.06</v>
      </c>
      <c r="AE192" s="10" t="s">
        <v>39</v>
      </c>
      <c r="AF192" s="7"/>
      <c r="AG192" s="2"/>
      <c r="AH192" s="2"/>
      <c r="AI192" s="2" t="s">
        <v>40</v>
      </c>
      <c r="AJ192" s="2"/>
      <c r="AK192" s="2"/>
      <c r="AL192" s="1" t="str">
        <f t="shared" si="3"/>
        <v>"Maak je keuze","","","55000000","","unspsc","M","","","","","","","A010","","5510X","","True",""</v>
      </c>
    </row>
    <row r="193" spans="1:38" x14ac:dyDescent="0.25">
      <c r="A193" s="1">
        <v>100</v>
      </c>
      <c r="C193" s="1" t="s">
        <v>31</v>
      </c>
      <c r="F193" s="1">
        <v>3</v>
      </c>
      <c r="G193" s="1" t="s">
        <v>148</v>
      </c>
      <c r="H193" s="8">
        <v>3</v>
      </c>
      <c r="J193" s="1" t="s">
        <v>45</v>
      </c>
      <c r="K193" s="1" t="s">
        <v>187</v>
      </c>
      <c r="O193" s="11">
        <v>55000000</v>
      </c>
      <c r="Q193" s="1" t="s">
        <v>35</v>
      </c>
      <c r="R193" s="1" t="s">
        <v>36</v>
      </c>
      <c r="W193" s="1" t="s">
        <v>42</v>
      </c>
      <c r="Y193" s="1" t="s">
        <v>37</v>
      </c>
      <c r="AA193" s="12" t="s">
        <v>189</v>
      </c>
      <c r="AB193" s="1" t="s">
        <v>190</v>
      </c>
      <c r="AC193" s="12" t="s">
        <v>186</v>
      </c>
      <c r="AD193" s="13">
        <v>0.06</v>
      </c>
      <c r="AE193" s="14" t="s">
        <v>39</v>
      </c>
      <c r="AF193" s="15"/>
      <c r="AG193" s="1">
        <v>6161000200</v>
      </c>
      <c r="AH193" s="1" t="s">
        <v>45</v>
      </c>
      <c r="AI193" s="1" t="s">
        <v>44</v>
      </c>
      <c r="AL193" s="1" t="str">
        <f t="shared" si="3"/>
        <v>"Didactisch materiaal","","","55000000","","unspsc","M","","","","","K","","A010","","5510X","6161000200","False",""</v>
      </c>
    </row>
    <row r="194" spans="1:38" x14ac:dyDescent="0.25">
      <c r="A194" s="1">
        <v>100</v>
      </c>
      <c r="C194" s="1" t="s">
        <v>31</v>
      </c>
      <c r="F194" s="1">
        <v>3</v>
      </c>
      <c r="G194" s="1" t="s">
        <v>148</v>
      </c>
      <c r="H194" s="8">
        <v>6</v>
      </c>
      <c r="J194" s="1" t="s">
        <v>108</v>
      </c>
      <c r="K194" s="1" t="s">
        <v>187</v>
      </c>
      <c r="O194" s="11">
        <v>55000000</v>
      </c>
      <c r="Q194" s="1" t="s">
        <v>35</v>
      </c>
      <c r="R194" s="1" t="s">
        <v>36</v>
      </c>
      <c r="W194" s="1" t="s">
        <v>42</v>
      </c>
      <c r="Y194" s="1" t="s">
        <v>37</v>
      </c>
      <c r="AA194" s="12" t="s">
        <v>189</v>
      </c>
      <c r="AB194" s="1" t="s">
        <v>190</v>
      </c>
      <c r="AC194" s="12" t="s">
        <v>186</v>
      </c>
      <c r="AD194" s="13">
        <v>0.06</v>
      </c>
      <c r="AE194" s="14" t="s">
        <v>39</v>
      </c>
      <c r="AF194" s="15"/>
      <c r="AG194" s="1">
        <v>6030000200</v>
      </c>
      <c r="AH194" s="1" t="s">
        <v>109</v>
      </c>
      <c r="AI194" s="1" t="s">
        <v>44</v>
      </c>
      <c r="AL194" s="1" t="str">
        <f t="shared" si="3"/>
        <v>"Doorverkoop onderwijs (niet max fac)","","","55000000","","unspsc","M","","","","","K","","A010","","5510X","6030000200","False",""</v>
      </c>
    </row>
    <row r="195" spans="1:38" x14ac:dyDescent="0.25">
      <c r="A195" s="1">
        <v>100</v>
      </c>
      <c r="C195" s="1" t="s">
        <v>31</v>
      </c>
      <c r="E195" s="1" t="s">
        <v>81</v>
      </c>
      <c r="F195" s="1">
        <v>6</v>
      </c>
      <c r="G195" s="1" t="s">
        <v>82</v>
      </c>
      <c r="J195" s="1" t="s">
        <v>33</v>
      </c>
      <c r="K195" s="1" t="s">
        <v>191</v>
      </c>
      <c r="O195" s="11">
        <v>55000000</v>
      </c>
      <c r="Q195" s="1" t="s">
        <v>35</v>
      </c>
      <c r="R195" s="1" t="s">
        <v>36</v>
      </c>
      <c r="Y195" s="1" t="s">
        <v>37</v>
      </c>
      <c r="AA195" s="20">
        <v>551217</v>
      </c>
      <c r="AB195" s="2" t="s">
        <v>192</v>
      </c>
      <c r="AC195" s="5" t="s">
        <v>65</v>
      </c>
      <c r="AD195" s="9">
        <v>0.21</v>
      </c>
      <c r="AE195" s="10" t="s">
        <v>39</v>
      </c>
      <c r="AI195" s="2" t="s">
        <v>40</v>
      </c>
      <c r="AL195" s="1" t="str">
        <f t="shared" si="3"/>
        <v>"Maak je keuze","","","55000000","","unspsc","M","","","","","","","A010","","551217","","True",""</v>
      </c>
    </row>
    <row r="196" spans="1:38" s="2" customFormat="1" x14ac:dyDescent="0.25">
      <c r="A196" s="1">
        <v>100</v>
      </c>
      <c r="B196" s="1"/>
      <c r="C196" s="1" t="s">
        <v>31</v>
      </c>
      <c r="D196" s="1"/>
      <c r="E196" s="1" t="s">
        <v>81</v>
      </c>
      <c r="F196" s="1">
        <v>6</v>
      </c>
      <c r="G196" s="1" t="s">
        <v>82</v>
      </c>
      <c r="H196" s="8">
        <v>17</v>
      </c>
      <c r="I196" s="8"/>
      <c r="J196" s="1" t="s">
        <v>41</v>
      </c>
      <c r="K196" s="1" t="s">
        <v>191</v>
      </c>
      <c r="L196" s="1"/>
      <c r="M196" s="1"/>
      <c r="N196" s="1"/>
      <c r="O196" s="11">
        <v>55000000</v>
      </c>
      <c r="P196" s="1"/>
      <c r="Q196" s="1" t="s">
        <v>35</v>
      </c>
      <c r="R196" s="1" t="s">
        <v>36</v>
      </c>
      <c r="S196" s="1"/>
      <c r="T196" s="1"/>
      <c r="U196" s="1"/>
      <c r="V196" s="1"/>
      <c r="W196" s="1" t="s">
        <v>42</v>
      </c>
      <c r="X196" s="1"/>
      <c r="Y196" s="1" t="s">
        <v>37</v>
      </c>
      <c r="Z196" s="1"/>
      <c r="AA196" s="12">
        <v>551217</v>
      </c>
      <c r="AB196" s="1" t="s">
        <v>192</v>
      </c>
      <c r="AC196" s="12" t="s">
        <v>65</v>
      </c>
      <c r="AD196" s="13">
        <v>0.21</v>
      </c>
      <c r="AE196" s="14" t="s">
        <v>39</v>
      </c>
      <c r="AF196" s="16"/>
      <c r="AG196" s="1">
        <v>6103000600</v>
      </c>
      <c r="AH196" s="1" t="s">
        <v>139</v>
      </c>
      <c r="AI196" s="1" t="s">
        <v>44</v>
      </c>
      <c r="AJ196" s="1"/>
      <c r="AK196" s="1"/>
      <c r="AL196" s="1" t="str">
        <f t="shared" ref="AL196:AL259" si="4">""""&amp;J196&amp;""""&amp;","&amp;""""&amp;L196&amp;""""&amp;","&amp;""""&amp;M196&amp;""""&amp;","&amp;""""&amp;O196&amp;""""&amp;","&amp;""""&amp;P196&amp;""""&amp;","&amp;""""&amp;Q196&amp;""""&amp;","&amp;""""&amp;R196&amp;""""&amp;","&amp;""""&amp;S196&amp;""""&amp;","&amp;""""&amp;T196&amp;""""&amp;","&amp;""""&amp;U196&amp;""""&amp;","&amp;""""&amp;V196&amp;""""&amp;","&amp;""""&amp;W196&amp;""""&amp;","&amp;""""&amp;X196&amp;""""&amp;","&amp;""""&amp;Y196&amp;""""&amp;","&amp;""""&amp;Z196&amp;""""&amp;","&amp;""""&amp;AA196&amp;""""&amp;","&amp;""""&amp;AG196&amp;""""&amp;","&amp;""""&amp;AI196&amp;""""&amp;","&amp;""""&amp;AJ196&amp;""""&amp;""</f>
        <v>"Operationele werking","","","55000000","","unspsc","M","","","","","K","","A010","","551217","6103000600","False",""</v>
      </c>
    </row>
    <row r="197" spans="1:38" x14ac:dyDescent="0.25">
      <c r="A197" s="1">
        <v>100</v>
      </c>
      <c r="B197" s="21"/>
      <c r="C197" s="21" t="s">
        <v>31</v>
      </c>
      <c r="D197" s="21"/>
      <c r="E197" s="21" t="s">
        <v>81</v>
      </c>
      <c r="F197" s="21">
        <v>6</v>
      </c>
      <c r="G197" s="21" t="s">
        <v>82</v>
      </c>
      <c r="H197" s="8">
        <v>9</v>
      </c>
      <c r="I197" s="22"/>
      <c r="J197" s="21" t="s">
        <v>59</v>
      </c>
      <c r="K197" s="21" t="s">
        <v>191</v>
      </c>
      <c r="L197" s="21"/>
      <c r="M197" s="21"/>
      <c r="N197" s="21"/>
      <c r="O197" s="23">
        <v>55000000</v>
      </c>
      <c r="P197" s="21"/>
      <c r="Q197" s="21" t="s">
        <v>35</v>
      </c>
      <c r="R197" s="21" t="s">
        <v>36</v>
      </c>
      <c r="S197" s="21"/>
      <c r="T197" s="21"/>
      <c r="U197" s="21"/>
      <c r="V197" s="21"/>
      <c r="W197" s="24" t="s">
        <v>60</v>
      </c>
      <c r="X197" s="21"/>
      <c r="Y197" s="21" t="s">
        <v>37</v>
      </c>
      <c r="Z197" s="21"/>
      <c r="AA197" s="25">
        <v>551217</v>
      </c>
      <c r="AB197" s="21" t="s">
        <v>192</v>
      </c>
      <c r="AC197" s="25" t="s">
        <v>65</v>
      </c>
      <c r="AD197" s="26">
        <v>0.21</v>
      </c>
      <c r="AE197" s="27" t="s">
        <v>39</v>
      </c>
      <c r="AF197" s="28"/>
      <c r="AG197" s="21">
        <v>2301000000</v>
      </c>
      <c r="AH197" s="21" t="s">
        <v>76</v>
      </c>
      <c r="AI197" s="21" t="s">
        <v>44</v>
      </c>
      <c r="AJ197" s="21"/>
      <c r="AK197" s="21"/>
      <c r="AL197" s="1" t="str">
        <f t="shared" si="4"/>
        <v>"Investering","","","55000000","","unspsc","M","","","","","A","","A010","","551217","2301000000","False",""</v>
      </c>
    </row>
    <row r="198" spans="1:38" s="21" customFormat="1" x14ac:dyDescent="0.25">
      <c r="A198" s="1">
        <v>100</v>
      </c>
      <c r="C198" s="21" t="s">
        <v>31</v>
      </c>
      <c r="E198" s="21" t="s">
        <v>81</v>
      </c>
      <c r="F198" s="21">
        <v>6</v>
      </c>
      <c r="G198" s="21" t="s">
        <v>82</v>
      </c>
      <c r="H198" s="8"/>
      <c r="I198" s="22"/>
      <c r="J198" s="21" t="s">
        <v>33</v>
      </c>
      <c r="K198" s="21" t="s">
        <v>191</v>
      </c>
      <c r="O198" s="23">
        <v>55000000</v>
      </c>
      <c r="Q198" s="21" t="s">
        <v>35</v>
      </c>
      <c r="R198" s="21" t="s">
        <v>36</v>
      </c>
      <c r="Y198" s="21" t="s">
        <v>37</v>
      </c>
      <c r="AA198" s="29">
        <v>55121701</v>
      </c>
      <c r="AB198" s="30" t="s">
        <v>192</v>
      </c>
      <c r="AC198" s="56" t="s">
        <v>38</v>
      </c>
      <c r="AD198" s="57">
        <v>0.06</v>
      </c>
      <c r="AE198" s="33" t="s">
        <v>39</v>
      </c>
      <c r="AF198" s="28"/>
      <c r="AI198" s="30" t="s">
        <v>40</v>
      </c>
      <c r="AL198" s="1" t="str">
        <f t="shared" si="4"/>
        <v>"Maak je keuze","","","55000000","","unspsc","M","","","","","","","A010","","55121701","","True",""</v>
      </c>
    </row>
    <row r="199" spans="1:38" s="30" customFormat="1" x14ac:dyDescent="0.25">
      <c r="A199" s="1">
        <v>100</v>
      </c>
      <c r="B199" s="21"/>
      <c r="C199" s="21" t="s">
        <v>31</v>
      </c>
      <c r="D199" s="21"/>
      <c r="E199" s="21" t="s">
        <v>81</v>
      </c>
      <c r="F199" s="21">
        <v>6</v>
      </c>
      <c r="G199" s="21" t="s">
        <v>82</v>
      </c>
      <c r="H199" s="8">
        <v>17</v>
      </c>
      <c r="I199" s="22"/>
      <c r="J199" s="21" t="s">
        <v>41</v>
      </c>
      <c r="K199" s="21" t="s">
        <v>191</v>
      </c>
      <c r="L199" s="21"/>
      <c r="M199" s="21"/>
      <c r="N199" s="21"/>
      <c r="O199" s="23">
        <v>55000000</v>
      </c>
      <c r="P199" s="21"/>
      <c r="Q199" s="21" t="s">
        <v>35</v>
      </c>
      <c r="R199" s="21" t="s">
        <v>36</v>
      </c>
      <c r="S199" s="21"/>
      <c r="T199" s="21"/>
      <c r="U199" s="21"/>
      <c r="V199" s="21"/>
      <c r="W199" s="21" t="s">
        <v>42</v>
      </c>
      <c r="X199" s="21"/>
      <c r="Y199" s="21" t="s">
        <v>37</v>
      </c>
      <c r="Z199" s="21"/>
      <c r="AA199" s="58">
        <v>55121701</v>
      </c>
      <c r="AB199" s="21" t="s">
        <v>192</v>
      </c>
      <c r="AC199" s="25" t="s">
        <v>38</v>
      </c>
      <c r="AD199" s="26">
        <v>0.06</v>
      </c>
      <c r="AE199" s="27" t="s">
        <v>39</v>
      </c>
      <c r="AF199" s="28"/>
      <c r="AG199" s="21">
        <v>6103000600</v>
      </c>
      <c r="AH199" s="21" t="s">
        <v>139</v>
      </c>
      <c r="AI199" s="21" t="s">
        <v>44</v>
      </c>
      <c r="AJ199" s="21"/>
      <c r="AK199" s="21"/>
      <c r="AL199" s="1" t="str">
        <f t="shared" si="4"/>
        <v>"Operationele werking","","","55000000","","unspsc","M","","","","","K","","A010","","55121701","6103000600","False",""</v>
      </c>
    </row>
    <row r="200" spans="1:38" s="21" customFormat="1" x14ac:dyDescent="0.25">
      <c r="A200" s="1">
        <v>100</v>
      </c>
      <c r="C200" s="21" t="s">
        <v>31</v>
      </c>
      <c r="E200" s="21" t="s">
        <v>81</v>
      </c>
      <c r="F200" s="21">
        <v>6</v>
      </c>
      <c r="G200" s="21" t="s">
        <v>82</v>
      </c>
      <c r="H200" s="8">
        <v>9</v>
      </c>
      <c r="I200" s="22"/>
      <c r="J200" s="21" t="s">
        <v>59</v>
      </c>
      <c r="K200" s="21" t="s">
        <v>191</v>
      </c>
      <c r="O200" s="23">
        <v>55000000</v>
      </c>
      <c r="Q200" s="21" t="s">
        <v>35</v>
      </c>
      <c r="R200" s="21" t="s">
        <v>36</v>
      </c>
      <c r="W200" s="21" t="s">
        <v>60</v>
      </c>
      <c r="Y200" s="21" t="s">
        <v>37</v>
      </c>
      <c r="AA200" s="58">
        <v>55121701</v>
      </c>
      <c r="AB200" s="21" t="s">
        <v>192</v>
      </c>
      <c r="AC200" s="25" t="s">
        <v>38</v>
      </c>
      <c r="AD200" s="26">
        <v>0.06</v>
      </c>
      <c r="AE200" s="27" t="s">
        <v>39</v>
      </c>
      <c r="AF200" s="28"/>
      <c r="AG200" s="21">
        <v>2301000000</v>
      </c>
      <c r="AH200" s="21" t="s">
        <v>76</v>
      </c>
      <c r="AI200" s="21" t="s">
        <v>44</v>
      </c>
      <c r="AL200" s="1" t="str">
        <f t="shared" si="4"/>
        <v>"Investering","","","55000000","","unspsc","M","","","","","A","","A010","","55121701","2301000000","False",""</v>
      </c>
    </row>
    <row r="201" spans="1:38" x14ac:dyDescent="0.25">
      <c r="A201" s="1">
        <v>100</v>
      </c>
      <c r="B201" s="2"/>
      <c r="C201" s="1" t="s">
        <v>31</v>
      </c>
      <c r="F201" s="2">
        <v>6</v>
      </c>
      <c r="G201" s="2" t="s">
        <v>82</v>
      </c>
      <c r="J201" s="2" t="s">
        <v>33</v>
      </c>
      <c r="K201" s="2" t="s">
        <v>191</v>
      </c>
      <c r="O201" s="3">
        <v>55000000</v>
      </c>
      <c r="Q201" s="1" t="s">
        <v>35</v>
      </c>
      <c r="R201" s="1" t="s">
        <v>36</v>
      </c>
      <c r="Y201" s="1" t="s">
        <v>37</v>
      </c>
      <c r="Z201" s="2"/>
      <c r="AA201" s="4">
        <v>5512</v>
      </c>
      <c r="AB201" s="2" t="s">
        <v>191</v>
      </c>
      <c r="AC201" s="5" t="s">
        <v>65</v>
      </c>
      <c r="AD201" s="9">
        <v>0.21</v>
      </c>
      <c r="AE201" s="10" t="s">
        <v>39</v>
      </c>
      <c r="AF201" s="7"/>
      <c r="AG201" s="2"/>
      <c r="AH201" s="2"/>
      <c r="AI201" s="2" t="s">
        <v>40</v>
      </c>
      <c r="AJ201" s="2"/>
      <c r="AK201" s="2"/>
      <c r="AL201" s="1" t="str">
        <f t="shared" si="4"/>
        <v>"Maak je keuze","","","55000000","","unspsc","M","","","","","","","A010","","5512","","True",""</v>
      </c>
    </row>
    <row r="202" spans="1:38" s="2" customFormat="1" x14ac:dyDescent="0.25">
      <c r="A202" s="1">
        <v>100</v>
      </c>
      <c r="B202" s="1"/>
      <c r="C202" s="1" t="s">
        <v>31</v>
      </c>
      <c r="D202" s="1"/>
      <c r="E202" s="1"/>
      <c r="F202" s="1">
        <v>6</v>
      </c>
      <c r="G202" s="1" t="s">
        <v>82</v>
      </c>
      <c r="H202" s="8">
        <v>17</v>
      </c>
      <c r="I202" s="8"/>
      <c r="J202" s="1" t="s">
        <v>41</v>
      </c>
      <c r="K202" s="1" t="s">
        <v>191</v>
      </c>
      <c r="L202" s="1"/>
      <c r="M202" s="1"/>
      <c r="N202" s="1"/>
      <c r="O202" s="11">
        <v>55000000</v>
      </c>
      <c r="P202" s="1"/>
      <c r="Q202" s="1" t="s">
        <v>35</v>
      </c>
      <c r="R202" s="1" t="s">
        <v>36</v>
      </c>
      <c r="S202" s="1"/>
      <c r="T202" s="1"/>
      <c r="U202" s="1"/>
      <c r="V202" s="1"/>
      <c r="W202" s="1" t="s">
        <v>42</v>
      </c>
      <c r="X202" s="1"/>
      <c r="Y202" s="1" t="s">
        <v>37</v>
      </c>
      <c r="Z202" s="1"/>
      <c r="AA202" s="12">
        <v>5512</v>
      </c>
      <c r="AB202" s="1" t="s">
        <v>191</v>
      </c>
      <c r="AC202" s="12" t="s">
        <v>65</v>
      </c>
      <c r="AD202" s="13">
        <v>0.21</v>
      </c>
      <c r="AE202" s="14" t="s">
        <v>39</v>
      </c>
      <c r="AF202" s="15"/>
      <c r="AG202" s="11">
        <v>6103000600</v>
      </c>
      <c r="AH202" s="1" t="s">
        <v>139</v>
      </c>
      <c r="AI202" s="1" t="s">
        <v>44</v>
      </c>
      <c r="AJ202" s="1"/>
      <c r="AK202" s="1"/>
      <c r="AL202" s="1" t="str">
        <f t="shared" si="4"/>
        <v>"Operationele werking","","","55000000","","unspsc","M","","","","","K","","A010","","5512","6103000600","False",""</v>
      </c>
    </row>
    <row r="203" spans="1:38" x14ac:dyDescent="0.25">
      <c r="A203" s="1">
        <v>100</v>
      </c>
      <c r="C203" s="1" t="s">
        <v>31</v>
      </c>
      <c r="F203" s="1">
        <v>6</v>
      </c>
      <c r="G203" s="1" t="s">
        <v>82</v>
      </c>
      <c r="H203" s="8">
        <v>9</v>
      </c>
      <c r="J203" s="1" t="s">
        <v>59</v>
      </c>
      <c r="K203" s="1" t="s">
        <v>191</v>
      </c>
      <c r="O203" s="11">
        <v>55000000</v>
      </c>
      <c r="Q203" s="1" t="s">
        <v>35</v>
      </c>
      <c r="R203" s="1" t="s">
        <v>36</v>
      </c>
      <c r="W203" s="1" t="s">
        <v>60</v>
      </c>
      <c r="Y203" s="1" t="s">
        <v>37</v>
      </c>
      <c r="AA203" s="12">
        <v>5512</v>
      </c>
      <c r="AB203" s="1" t="s">
        <v>191</v>
      </c>
      <c r="AC203" s="12" t="s">
        <v>65</v>
      </c>
      <c r="AD203" s="13">
        <v>0.21</v>
      </c>
      <c r="AE203" s="14" t="s">
        <v>39</v>
      </c>
      <c r="AF203" s="15"/>
      <c r="AG203" s="1">
        <v>2302000000</v>
      </c>
      <c r="AH203" s="1" t="s">
        <v>125</v>
      </c>
      <c r="AI203" s="1" t="s">
        <v>44</v>
      </c>
      <c r="AL203" s="1" t="str">
        <f t="shared" si="4"/>
        <v>"Investering","","","55000000","","unspsc","M","","","","","A","","A010","","5512","2302000000","False",""</v>
      </c>
    </row>
    <row r="204" spans="1:38" x14ac:dyDescent="0.25">
      <c r="A204" s="1">
        <v>100</v>
      </c>
      <c r="B204" s="2"/>
      <c r="C204" s="1" t="s">
        <v>31</v>
      </c>
      <c r="F204" s="2">
        <v>6</v>
      </c>
      <c r="G204" s="2" t="s">
        <v>82</v>
      </c>
      <c r="J204" s="2" t="s">
        <v>33</v>
      </c>
      <c r="K204" s="2" t="s">
        <v>191</v>
      </c>
      <c r="O204" s="3">
        <v>55000000</v>
      </c>
      <c r="Q204" s="1" t="s">
        <v>35</v>
      </c>
      <c r="R204" s="1" t="s">
        <v>36</v>
      </c>
      <c r="Y204" s="1" t="s">
        <v>37</v>
      </c>
      <c r="Z204" s="2"/>
      <c r="AA204" s="4" t="s">
        <v>193</v>
      </c>
      <c r="AB204" s="2" t="s">
        <v>191</v>
      </c>
      <c r="AC204" s="5" t="s">
        <v>38</v>
      </c>
      <c r="AD204" s="9">
        <v>0.06</v>
      </c>
      <c r="AE204" s="10" t="s">
        <v>39</v>
      </c>
      <c r="AF204" s="7"/>
      <c r="AG204" s="2"/>
      <c r="AH204" s="2"/>
      <c r="AI204" s="2" t="s">
        <v>40</v>
      </c>
      <c r="AJ204" s="2"/>
      <c r="AK204" s="2"/>
      <c r="AL204" s="1" t="str">
        <f t="shared" si="4"/>
        <v>"Maak je keuze","","","55000000","","unspsc","M","","","","","","","A010","","5512X","","True",""</v>
      </c>
    </row>
    <row r="205" spans="1:38" s="2" customFormat="1" x14ac:dyDescent="0.25">
      <c r="A205" s="1">
        <v>100</v>
      </c>
      <c r="B205" s="1"/>
      <c r="C205" s="1" t="s">
        <v>31</v>
      </c>
      <c r="D205" s="1"/>
      <c r="E205" s="1"/>
      <c r="F205" s="1">
        <v>6</v>
      </c>
      <c r="G205" s="1" t="s">
        <v>82</v>
      </c>
      <c r="H205" s="8">
        <v>17</v>
      </c>
      <c r="I205" s="8"/>
      <c r="J205" s="1" t="s">
        <v>41</v>
      </c>
      <c r="K205" s="1" t="s">
        <v>191</v>
      </c>
      <c r="L205" s="1"/>
      <c r="M205" s="1"/>
      <c r="N205" s="1"/>
      <c r="O205" s="11">
        <v>55000000</v>
      </c>
      <c r="P205" s="1"/>
      <c r="Q205" s="1" t="s">
        <v>35</v>
      </c>
      <c r="R205" s="1" t="s">
        <v>36</v>
      </c>
      <c r="S205" s="1"/>
      <c r="T205" s="1"/>
      <c r="U205" s="1"/>
      <c r="V205" s="1"/>
      <c r="W205" s="1" t="s">
        <v>42</v>
      </c>
      <c r="X205" s="1"/>
      <c r="Y205" s="1" t="s">
        <v>37</v>
      </c>
      <c r="Z205" s="1"/>
      <c r="AA205" s="12" t="s">
        <v>193</v>
      </c>
      <c r="AB205" s="1" t="s">
        <v>191</v>
      </c>
      <c r="AC205" s="12" t="s">
        <v>38</v>
      </c>
      <c r="AD205" s="13">
        <v>0.06</v>
      </c>
      <c r="AE205" s="14" t="s">
        <v>39</v>
      </c>
      <c r="AF205" s="15"/>
      <c r="AG205" s="11">
        <v>6103000600</v>
      </c>
      <c r="AH205" s="1" t="s">
        <v>139</v>
      </c>
      <c r="AI205" s="1" t="s">
        <v>44</v>
      </c>
      <c r="AJ205" s="1"/>
      <c r="AK205" s="1"/>
      <c r="AL205" s="1" t="str">
        <f t="shared" si="4"/>
        <v>"Operationele werking","","","55000000","","unspsc","M","","","","","K","","A010","","5512X","6103000600","False",""</v>
      </c>
    </row>
    <row r="206" spans="1:38" x14ac:dyDescent="0.25">
      <c r="A206" s="1">
        <v>100</v>
      </c>
      <c r="C206" s="1" t="s">
        <v>31</v>
      </c>
      <c r="F206" s="1">
        <v>6</v>
      </c>
      <c r="G206" s="1" t="s">
        <v>82</v>
      </c>
      <c r="H206" s="8">
        <v>9</v>
      </c>
      <c r="J206" s="1" t="s">
        <v>59</v>
      </c>
      <c r="K206" s="1" t="s">
        <v>191</v>
      </c>
      <c r="O206" s="11">
        <v>55000000</v>
      </c>
      <c r="Q206" s="1" t="s">
        <v>35</v>
      </c>
      <c r="R206" s="1" t="s">
        <v>36</v>
      </c>
      <c r="W206" s="1" t="s">
        <v>60</v>
      </c>
      <c r="Y206" s="1" t="s">
        <v>37</v>
      </c>
      <c r="AA206" s="12" t="s">
        <v>193</v>
      </c>
      <c r="AB206" s="1" t="s">
        <v>191</v>
      </c>
      <c r="AC206" s="12" t="s">
        <v>38</v>
      </c>
      <c r="AD206" s="13">
        <v>0.06</v>
      </c>
      <c r="AE206" s="14" t="s">
        <v>39</v>
      </c>
      <c r="AF206" s="15"/>
      <c r="AG206" s="1">
        <v>2302000000</v>
      </c>
      <c r="AH206" s="1" t="s">
        <v>125</v>
      </c>
      <c r="AI206" s="1" t="s">
        <v>44</v>
      </c>
      <c r="AL206" s="1" t="str">
        <f t="shared" si="4"/>
        <v>"Investering","","","55000000","","unspsc","M","","","","","A","","A010","","5512X","2302000000","False",""</v>
      </c>
    </row>
    <row r="207" spans="1:38" x14ac:dyDescent="0.25">
      <c r="A207" s="1">
        <v>100</v>
      </c>
      <c r="B207" s="2"/>
      <c r="C207" s="1" t="s">
        <v>62</v>
      </c>
      <c r="F207" s="2">
        <v>3</v>
      </c>
      <c r="G207" s="2" t="s">
        <v>148</v>
      </c>
      <c r="J207" s="2" t="s">
        <v>33</v>
      </c>
      <c r="K207" s="2" t="s">
        <v>187</v>
      </c>
      <c r="O207" s="3">
        <v>60000000</v>
      </c>
      <c r="Q207" s="1" t="s">
        <v>35</v>
      </c>
      <c r="R207" s="1" t="s">
        <v>36</v>
      </c>
      <c r="Y207" s="1" t="s">
        <v>37</v>
      </c>
      <c r="Z207" s="2"/>
      <c r="AA207" s="4">
        <v>6013</v>
      </c>
      <c r="AB207" s="2" t="s">
        <v>194</v>
      </c>
      <c r="AC207" s="5" t="s">
        <v>65</v>
      </c>
      <c r="AD207" s="9">
        <v>0.21</v>
      </c>
      <c r="AE207" s="10" t="s">
        <v>39</v>
      </c>
      <c r="AF207" s="7"/>
      <c r="AG207" s="2"/>
      <c r="AH207" s="2"/>
      <c r="AI207" s="2" t="s">
        <v>40</v>
      </c>
      <c r="AJ207" s="2"/>
      <c r="AK207" s="2"/>
      <c r="AL207" s="1" t="str">
        <f t="shared" si="4"/>
        <v>"Maak je keuze","","","60000000","","unspsc","M","","","","","","","A010","","6013","","True",""</v>
      </c>
    </row>
    <row r="208" spans="1:38" s="2" customFormat="1" x14ac:dyDescent="0.25">
      <c r="A208" s="1">
        <v>100</v>
      </c>
      <c r="B208" s="1"/>
      <c r="C208" s="1" t="s">
        <v>62</v>
      </c>
      <c r="D208" s="1"/>
      <c r="E208" s="1"/>
      <c r="F208" s="1">
        <v>3</v>
      </c>
      <c r="G208" s="1" t="s">
        <v>148</v>
      </c>
      <c r="H208" s="8">
        <v>3</v>
      </c>
      <c r="I208" s="8"/>
      <c r="J208" s="1" t="s">
        <v>45</v>
      </c>
      <c r="K208" s="1" t="s">
        <v>187</v>
      </c>
      <c r="L208" s="1"/>
      <c r="M208" s="1"/>
      <c r="N208" s="1"/>
      <c r="O208" s="11">
        <v>60000000</v>
      </c>
      <c r="P208" s="1"/>
      <c r="Q208" s="1" t="s">
        <v>35</v>
      </c>
      <c r="R208" s="1" t="s">
        <v>36</v>
      </c>
      <c r="S208" s="1"/>
      <c r="T208" s="1"/>
      <c r="U208" s="1"/>
      <c r="V208" s="1"/>
      <c r="W208" s="1" t="s">
        <v>42</v>
      </c>
      <c r="X208" s="1"/>
      <c r="Y208" s="1" t="s">
        <v>37</v>
      </c>
      <c r="Z208" s="1"/>
      <c r="AA208" s="12">
        <v>6013</v>
      </c>
      <c r="AB208" s="1" t="s">
        <v>194</v>
      </c>
      <c r="AC208" s="12" t="s">
        <v>65</v>
      </c>
      <c r="AD208" s="13">
        <v>0.21</v>
      </c>
      <c r="AE208" s="14" t="s">
        <v>39</v>
      </c>
      <c r="AF208" s="15"/>
      <c r="AG208" s="1">
        <v>6161000200</v>
      </c>
      <c r="AH208" s="1" t="s">
        <v>45</v>
      </c>
      <c r="AI208" s="1" t="s">
        <v>44</v>
      </c>
      <c r="AJ208" s="1"/>
      <c r="AK208" s="1"/>
      <c r="AL208" s="1" t="str">
        <f t="shared" si="4"/>
        <v>"Didactisch materiaal","","","60000000","","unspsc","M","","","","","K","","A010","","6013","6161000200","False",""</v>
      </c>
    </row>
    <row r="209" spans="1:38" x14ac:dyDescent="0.25">
      <c r="A209" s="1">
        <v>100</v>
      </c>
      <c r="C209" s="1" t="s">
        <v>62</v>
      </c>
      <c r="F209" s="1">
        <v>3</v>
      </c>
      <c r="G209" s="1" t="s">
        <v>148</v>
      </c>
      <c r="H209" s="8">
        <v>9</v>
      </c>
      <c r="J209" s="1" t="s">
        <v>59</v>
      </c>
      <c r="K209" s="1" t="s">
        <v>187</v>
      </c>
      <c r="O209" s="11">
        <v>60000000</v>
      </c>
      <c r="Q209" s="1" t="s">
        <v>35</v>
      </c>
      <c r="R209" s="1" t="s">
        <v>36</v>
      </c>
      <c r="W209" s="1" t="s">
        <v>60</v>
      </c>
      <c r="Y209" s="1" t="s">
        <v>37</v>
      </c>
      <c r="AA209" s="12">
        <v>6013</v>
      </c>
      <c r="AB209" s="1" t="s">
        <v>194</v>
      </c>
      <c r="AC209" s="12" t="s">
        <v>65</v>
      </c>
      <c r="AD209" s="13">
        <v>0.21</v>
      </c>
      <c r="AE209" s="14" t="s">
        <v>39</v>
      </c>
      <c r="AF209" s="15"/>
      <c r="AG209" s="11">
        <v>2420000000</v>
      </c>
      <c r="AH209" s="1" t="s">
        <v>195</v>
      </c>
      <c r="AI209" s="1" t="s">
        <v>44</v>
      </c>
      <c r="AL209" s="1" t="str">
        <f t="shared" si="4"/>
        <v>"Investering","","","60000000","","unspsc","M","","","","","A","","A010","","6013","2420000000","False",""</v>
      </c>
    </row>
    <row r="210" spans="1:38" x14ac:dyDescent="0.25">
      <c r="A210" s="1">
        <v>100</v>
      </c>
      <c r="B210" s="2"/>
      <c r="C210" s="1" t="s">
        <v>62</v>
      </c>
      <c r="F210" s="2">
        <v>3</v>
      </c>
      <c r="G210" s="2" t="s">
        <v>148</v>
      </c>
      <c r="J210" s="2" t="s">
        <v>33</v>
      </c>
      <c r="K210" s="2" t="s">
        <v>187</v>
      </c>
      <c r="O210" s="3">
        <v>60000000</v>
      </c>
      <c r="Q210" s="1" t="s">
        <v>35</v>
      </c>
      <c r="R210" s="1" t="s">
        <v>36</v>
      </c>
      <c r="Y210" s="1" t="s">
        <v>37</v>
      </c>
      <c r="Z210" s="2"/>
      <c r="AA210" s="4">
        <v>601244</v>
      </c>
      <c r="AB210" s="2" t="s">
        <v>196</v>
      </c>
      <c r="AC210" s="5" t="s">
        <v>65</v>
      </c>
      <c r="AD210" s="9">
        <v>0.21</v>
      </c>
      <c r="AE210" s="10" t="s">
        <v>39</v>
      </c>
      <c r="AF210" s="7"/>
      <c r="AG210" s="2"/>
      <c r="AH210" s="2"/>
      <c r="AI210" s="2" t="s">
        <v>40</v>
      </c>
      <c r="AJ210" s="2"/>
      <c r="AK210" s="2"/>
      <c r="AL210" s="1" t="str">
        <f t="shared" si="4"/>
        <v>"Maak je keuze","","","60000000","","unspsc","M","","","","","","","A010","","601244","","True",""</v>
      </c>
    </row>
    <row r="211" spans="1:38" s="2" customFormat="1" x14ac:dyDescent="0.25">
      <c r="A211" s="1">
        <v>100</v>
      </c>
      <c r="B211" s="1"/>
      <c r="C211" s="1" t="s">
        <v>62</v>
      </c>
      <c r="D211" s="1"/>
      <c r="E211" s="1"/>
      <c r="F211" s="1">
        <v>3</v>
      </c>
      <c r="G211" s="1" t="s">
        <v>148</v>
      </c>
      <c r="H211" s="8">
        <v>3</v>
      </c>
      <c r="I211" s="8"/>
      <c r="J211" s="1" t="s">
        <v>45</v>
      </c>
      <c r="K211" s="1" t="s">
        <v>187</v>
      </c>
      <c r="L211" s="1"/>
      <c r="M211" s="1"/>
      <c r="N211" s="1"/>
      <c r="O211" s="11">
        <v>60000000</v>
      </c>
      <c r="P211" s="1"/>
      <c r="Q211" s="1" t="s">
        <v>35</v>
      </c>
      <c r="R211" s="1" t="s">
        <v>36</v>
      </c>
      <c r="S211" s="1"/>
      <c r="T211" s="1"/>
      <c r="U211" s="1"/>
      <c r="V211" s="1"/>
      <c r="W211" s="1" t="s">
        <v>42</v>
      </c>
      <c r="X211" s="1"/>
      <c r="Y211" s="1" t="s">
        <v>37</v>
      </c>
      <c r="Z211" s="1"/>
      <c r="AA211" s="12">
        <v>601244</v>
      </c>
      <c r="AB211" s="1" t="s">
        <v>196</v>
      </c>
      <c r="AC211" s="12" t="s">
        <v>65</v>
      </c>
      <c r="AD211" s="13">
        <v>0.21</v>
      </c>
      <c r="AE211" s="14" t="s">
        <v>39</v>
      </c>
      <c r="AF211" s="15"/>
      <c r="AG211" s="1">
        <v>6161000200</v>
      </c>
      <c r="AH211" s="1" t="s">
        <v>45</v>
      </c>
      <c r="AI211" s="1" t="s">
        <v>44</v>
      </c>
      <c r="AJ211" s="1"/>
      <c r="AK211" s="1"/>
      <c r="AL211" s="1" t="str">
        <f t="shared" si="4"/>
        <v>"Didactisch materiaal","","","60000000","","unspsc","M","","","","","K","","A010","","601244","6161000200","False",""</v>
      </c>
    </row>
    <row r="212" spans="1:38" x14ac:dyDescent="0.25">
      <c r="A212" s="1">
        <v>100</v>
      </c>
      <c r="C212" s="1" t="s">
        <v>62</v>
      </c>
      <c r="F212" s="1">
        <v>3</v>
      </c>
      <c r="G212" s="1" t="s">
        <v>148</v>
      </c>
      <c r="H212" s="8">
        <v>6</v>
      </c>
      <c r="J212" s="1" t="s">
        <v>108</v>
      </c>
      <c r="K212" s="1" t="s">
        <v>187</v>
      </c>
      <c r="O212" s="11">
        <v>60000000</v>
      </c>
      <c r="Q212" s="1" t="s">
        <v>35</v>
      </c>
      <c r="R212" s="1" t="s">
        <v>36</v>
      </c>
      <c r="W212" s="1" t="s">
        <v>42</v>
      </c>
      <c r="Y212" s="1" t="s">
        <v>37</v>
      </c>
      <c r="AA212" s="12">
        <v>601244</v>
      </c>
      <c r="AB212" s="1" t="s">
        <v>196</v>
      </c>
      <c r="AC212" s="12" t="s">
        <v>65</v>
      </c>
      <c r="AD212" s="13">
        <v>0.21</v>
      </c>
      <c r="AE212" s="14" t="s">
        <v>39</v>
      </c>
      <c r="AF212" s="15"/>
      <c r="AG212" s="1">
        <v>6030000200</v>
      </c>
      <c r="AH212" s="1" t="s">
        <v>109</v>
      </c>
      <c r="AI212" s="1" t="s">
        <v>44</v>
      </c>
      <c r="AL212" s="1" t="str">
        <f t="shared" si="4"/>
        <v>"Doorverkoop onderwijs (niet max fac)","","","60000000","","unspsc","M","","","","","K","","A010","","601244","6030000200","False",""</v>
      </c>
    </row>
    <row r="213" spans="1:38" x14ac:dyDescent="0.25">
      <c r="A213" s="1">
        <v>100</v>
      </c>
      <c r="C213" s="1" t="s">
        <v>62</v>
      </c>
      <c r="F213" s="1">
        <v>3</v>
      </c>
      <c r="G213" s="1" t="s">
        <v>148</v>
      </c>
      <c r="H213" s="8">
        <v>7</v>
      </c>
      <c r="J213" s="1" t="s">
        <v>119</v>
      </c>
      <c r="K213" s="1" t="s">
        <v>187</v>
      </c>
      <c r="O213" s="11">
        <v>60000000</v>
      </c>
      <c r="Q213" s="1" t="s">
        <v>35</v>
      </c>
      <c r="R213" s="1" t="s">
        <v>36</v>
      </c>
      <c r="W213" s="1" t="s">
        <v>42</v>
      </c>
      <c r="Y213" s="1" t="s">
        <v>37</v>
      </c>
      <c r="AA213" s="12">
        <v>601244</v>
      </c>
      <c r="AB213" s="1" t="s">
        <v>196</v>
      </c>
      <c r="AC213" s="12" t="s">
        <v>65</v>
      </c>
      <c r="AD213" s="13">
        <v>0.21</v>
      </c>
      <c r="AE213" s="14" t="s">
        <v>39</v>
      </c>
      <c r="AF213" s="15"/>
      <c r="AG213" s="1">
        <v>6030000100</v>
      </c>
      <c r="AH213" s="1" t="s">
        <v>120</v>
      </c>
      <c r="AI213" s="1" t="s">
        <v>44</v>
      </c>
      <c r="AL213" s="1" t="str">
        <f t="shared" si="4"/>
        <v>"Maximumfactuur","","","60000000","","unspsc","M","","","","","K","","A010","","601244","6030000100","False",""</v>
      </c>
    </row>
    <row r="214" spans="1:38" s="2" customFormat="1" x14ac:dyDescent="0.25">
      <c r="A214" s="1">
        <v>100</v>
      </c>
      <c r="C214" s="1" t="s">
        <v>31</v>
      </c>
      <c r="D214" s="1"/>
      <c r="E214" s="1"/>
      <c r="F214" s="2">
        <v>3</v>
      </c>
      <c r="G214" s="2" t="s">
        <v>148</v>
      </c>
      <c r="H214" s="8"/>
      <c r="I214" s="8"/>
      <c r="J214" s="2" t="s">
        <v>33</v>
      </c>
      <c r="K214" s="2" t="s">
        <v>187</v>
      </c>
      <c r="L214" s="1"/>
      <c r="M214" s="1"/>
      <c r="N214" s="1"/>
      <c r="O214" s="3">
        <v>60000000</v>
      </c>
      <c r="P214" s="1"/>
      <c r="Q214" s="1" t="s">
        <v>35</v>
      </c>
      <c r="R214" s="1" t="s">
        <v>36</v>
      </c>
      <c r="S214" s="1"/>
      <c r="T214" s="1"/>
      <c r="U214" s="1"/>
      <c r="V214" s="1"/>
      <c r="W214" s="1"/>
      <c r="X214" s="1"/>
      <c r="Y214" s="1" t="s">
        <v>37</v>
      </c>
      <c r="AA214" s="4">
        <v>601212</v>
      </c>
      <c r="AB214" s="2" t="s">
        <v>197</v>
      </c>
      <c r="AC214" s="5" t="s">
        <v>65</v>
      </c>
      <c r="AD214" s="9">
        <v>0.21</v>
      </c>
      <c r="AE214" s="10" t="s">
        <v>39</v>
      </c>
      <c r="AF214" s="7"/>
      <c r="AI214" s="2" t="s">
        <v>40</v>
      </c>
      <c r="AL214" s="1" t="str">
        <f t="shared" si="4"/>
        <v>"Maak je keuze","","","60000000","","unspsc","M","","","","","","","A010","","601212","","True",""</v>
      </c>
    </row>
    <row r="215" spans="1:38" x14ac:dyDescent="0.25">
      <c r="A215" s="1">
        <v>100</v>
      </c>
      <c r="C215" s="1" t="s">
        <v>31</v>
      </c>
      <c r="F215" s="1">
        <v>3</v>
      </c>
      <c r="G215" s="1" t="s">
        <v>148</v>
      </c>
      <c r="H215" s="8">
        <v>3</v>
      </c>
      <c r="J215" s="1" t="s">
        <v>45</v>
      </c>
      <c r="K215" s="1" t="s">
        <v>187</v>
      </c>
      <c r="O215" s="11">
        <v>60000000</v>
      </c>
      <c r="Q215" s="1" t="s">
        <v>35</v>
      </c>
      <c r="R215" s="1" t="s">
        <v>36</v>
      </c>
      <c r="W215" s="1" t="s">
        <v>42</v>
      </c>
      <c r="Y215" s="1" t="s">
        <v>37</v>
      </c>
      <c r="AA215" s="12">
        <v>601212</v>
      </c>
      <c r="AB215" s="1" t="s">
        <v>197</v>
      </c>
      <c r="AC215" s="12" t="s">
        <v>65</v>
      </c>
      <c r="AD215" s="13">
        <v>0.21</v>
      </c>
      <c r="AE215" s="14" t="s">
        <v>39</v>
      </c>
      <c r="AF215" s="15"/>
      <c r="AG215" s="1">
        <v>6161000200</v>
      </c>
      <c r="AH215" s="1" t="s">
        <v>45</v>
      </c>
      <c r="AI215" s="1" t="s">
        <v>44</v>
      </c>
      <c r="AL215" s="1" t="str">
        <f t="shared" si="4"/>
        <v>"Didactisch materiaal","","","60000000","","unspsc","M","","","","","K","","A010","","601212","6161000200","False",""</v>
      </c>
    </row>
    <row r="216" spans="1:38" x14ac:dyDescent="0.25">
      <c r="A216" s="1">
        <v>100</v>
      </c>
      <c r="C216" s="1" t="s">
        <v>31</v>
      </c>
      <c r="F216" s="1">
        <v>3</v>
      </c>
      <c r="G216" s="1" t="s">
        <v>148</v>
      </c>
      <c r="H216" s="8">
        <v>6</v>
      </c>
      <c r="J216" s="1" t="s">
        <v>108</v>
      </c>
      <c r="K216" s="1" t="s">
        <v>187</v>
      </c>
      <c r="O216" s="11">
        <v>60000000</v>
      </c>
      <c r="Q216" s="1" t="s">
        <v>35</v>
      </c>
      <c r="R216" s="1" t="s">
        <v>36</v>
      </c>
      <c r="W216" s="1" t="s">
        <v>42</v>
      </c>
      <c r="Y216" s="1" t="s">
        <v>37</v>
      </c>
      <c r="AA216" s="12">
        <v>601212</v>
      </c>
      <c r="AB216" s="1" t="s">
        <v>197</v>
      </c>
      <c r="AC216" s="12" t="s">
        <v>65</v>
      </c>
      <c r="AD216" s="13">
        <v>0.21</v>
      </c>
      <c r="AE216" s="14" t="s">
        <v>39</v>
      </c>
      <c r="AF216" s="15"/>
      <c r="AG216" s="1">
        <v>6030000200</v>
      </c>
      <c r="AH216" s="1" t="s">
        <v>109</v>
      </c>
      <c r="AI216" s="1" t="s">
        <v>44</v>
      </c>
      <c r="AL216" s="1" t="str">
        <f t="shared" si="4"/>
        <v>"Doorverkoop onderwijs (niet max fac)","","","60000000","","unspsc","M","","","","","K","","A010","","601212","6030000200","False",""</v>
      </c>
    </row>
    <row r="217" spans="1:38" x14ac:dyDescent="0.25">
      <c r="A217" s="1">
        <v>100</v>
      </c>
      <c r="B217" s="2"/>
      <c r="C217" s="1" t="s">
        <v>31</v>
      </c>
      <c r="F217" s="2">
        <v>3</v>
      </c>
      <c r="G217" s="2" t="s">
        <v>148</v>
      </c>
      <c r="J217" s="2" t="s">
        <v>33</v>
      </c>
      <c r="K217" s="2" t="s">
        <v>187</v>
      </c>
      <c r="O217" s="3">
        <v>60000000</v>
      </c>
      <c r="Q217" s="1" t="s">
        <v>35</v>
      </c>
      <c r="R217" s="1" t="s">
        <v>36</v>
      </c>
      <c r="Y217" s="1" t="s">
        <v>37</v>
      </c>
      <c r="Z217" s="2"/>
      <c r="AA217" s="4">
        <v>601017</v>
      </c>
      <c r="AB217" s="2" t="s">
        <v>198</v>
      </c>
      <c r="AC217" s="5" t="s">
        <v>38</v>
      </c>
      <c r="AD217" s="9">
        <v>0.06</v>
      </c>
      <c r="AE217" s="10" t="s">
        <v>39</v>
      </c>
      <c r="AF217" s="7"/>
      <c r="AG217" s="3"/>
      <c r="AH217" s="2"/>
      <c r="AI217" s="2" t="s">
        <v>40</v>
      </c>
      <c r="AJ217" s="2"/>
      <c r="AK217" s="2"/>
      <c r="AL217" s="1" t="str">
        <f t="shared" si="4"/>
        <v>"Maak je keuze","","","60000000","","unspsc","M","","","","","","","A010","","601017","","True",""</v>
      </c>
    </row>
    <row r="218" spans="1:38" s="2" customFormat="1" x14ac:dyDescent="0.25">
      <c r="A218" s="1">
        <v>100</v>
      </c>
      <c r="B218" s="1"/>
      <c r="C218" s="1" t="s">
        <v>31</v>
      </c>
      <c r="D218" s="1"/>
      <c r="E218" s="1"/>
      <c r="F218" s="1">
        <v>3</v>
      </c>
      <c r="G218" s="1" t="s">
        <v>148</v>
      </c>
      <c r="H218" s="8">
        <v>6</v>
      </c>
      <c r="I218" s="8"/>
      <c r="J218" s="1" t="s">
        <v>108</v>
      </c>
      <c r="K218" s="1" t="s">
        <v>187</v>
      </c>
      <c r="L218" s="1"/>
      <c r="M218" s="1"/>
      <c r="N218" s="1"/>
      <c r="O218" s="11">
        <v>60000000</v>
      </c>
      <c r="P218" s="1"/>
      <c r="Q218" s="1" t="s">
        <v>35</v>
      </c>
      <c r="R218" s="1" t="s">
        <v>36</v>
      </c>
      <c r="S218" s="1"/>
      <c r="T218" s="1"/>
      <c r="U218" s="1"/>
      <c r="V218" s="1"/>
      <c r="W218" s="1" t="s">
        <v>42</v>
      </c>
      <c r="X218" s="1"/>
      <c r="Y218" s="1" t="s">
        <v>37</v>
      </c>
      <c r="Z218" s="1"/>
      <c r="AA218" s="12">
        <v>601017</v>
      </c>
      <c r="AB218" s="1" t="s">
        <v>198</v>
      </c>
      <c r="AC218" s="12" t="s">
        <v>38</v>
      </c>
      <c r="AD218" s="13">
        <v>0.06</v>
      </c>
      <c r="AE218" s="14" t="s">
        <v>39</v>
      </c>
      <c r="AF218" s="15"/>
      <c r="AG218" s="1">
        <v>6030000200</v>
      </c>
      <c r="AH218" s="1" t="s">
        <v>109</v>
      </c>
      <c r="AI218" s="1" t="s">
        <v>44</v>
      </c>
      <c r="AJ218" s="1"/>
      <c r="AK218" s="1"/>
      <c r="AL218" s="1" t="str">
        <f t="shared" si="4"/>
        <v>"Doorverkoop onderwijs (niet max fac)","","","60000000","","unspsc","M","","","","","K","","A010","","601017","6030000200","False",""</v>
      </c>
    </row>
    <row r="219" spans="1:38" x14ac:dyDescent="0.25">
      <c r="A219" s="1">
        <v>100</v>
      </c>
      <c r="C219" s="1" t="s">
        <v>31</v>
      </c>
      <c r="F219" s="1">
        <v>3</v>
      </c>
      <c r="G219" s="1" t="s">
        <v>148</v>
      </c>
      <c r="H219" s="8">
        <v>7</v>
      </c>
      <c r="J219" s="1" t="s">
        <v>119</v>
      </c>
      <c r="K219" s="1" t="s">
        <v>187</v>
      </c>
      <c r="O219" s="11">
        <v>60000000</v>
      </c>
      <c r="Q219" s="1" t="s">
        <v>35</v>
      </c>
      <c r="R219" s="1" t="s">
        <v>36</v>
      </c>
      <c r="W219" s="1" t="s">
        <v>42</v>
      </c>
      <c r="Y219" s="1" t="s">
        <v>37</v>
      </c>
      <c r="AA219" s="12">
        <v>601017</v>
      </c>
      <c r="AB219" s="1" t="s">
        <v>198</v>
      </c>
      <c r="AC219" s="12" t="s">
        <v>38</v>
      </c>
      <c r="AD219" s="13">
        <v>0.06</v>
      </c>
      <c r="AE219" s="14" t="s">
        <v>39</v>
      </c>
      <c r="AF219" s="15"/>
      <c r="AG219" s="1">
        <v>6030000100</v>
      </c>
      <c r="AH219" s="1" t="s">
        <v>120</v>
      </c>
      <c r="AI219" s="1" t="s">
        <v>44</v>
      </c>
      <c r="AL219" s="1" t="str">
        <f t="shared" si="4"/>
        <v>"Maximumfactuur","","","60000000","","unspsc","M","","","","","K","","A010","","601017","6030000100","False",""</v>
      </c>
    </row>
    <row r="220" spans="1:38" x14ac:dyDescent="0.25">
      <c r="A220" s="1">
        <v>100</v>
      </c>
      <c r="C220" s="1" t="s">
        <v>31</v>
      </c>
      <c r="F220" s="1">
        <v>3</v>
      </c>
      <c r="G220" s="1" t="s">
        <v>148</v>
      </c>
      <c r="H220" s="8">
        <v>3</v>
      </c>
      <c r="J220" s="1" t="s">
        <v>45</v>
      </c>
      <c r="K220" s="1" t="s">
        <v>187</v>
      </c>
      <c r="O220" s="11">
        <v>60000000</v>
      </c>
      <c r="Q220" s="1" t="s">
        <v>35</v>
      </c>
      <c r="R220" s="1" t="s">
        <v>36</v>
      </c>
      <c r="W220" s="1" t="s">
        <v>42</v>
      </c>
      <c r="Y220" s="1" t="s">
        <v>37</v>
      </c>
      <c r="AA220" s="12">
        <v>601017</v>
      </c>
      <c r="AB220" s="1" t="s">
        <v>198</v>
      </c>
      <c r="AC220" s="12" t="s">
        <v>38</v>
      </c>
      <c r="AD220" s="13">
        <v>0.06</v>
      </c>
      <c r="AE220" s="14" t="s">
        <v>39</v>
      </c>
      <c r="AF220" s="15"/>
      <c r="AG220" s="1">
        <v>6161000200</v>
      </c>
      <c r="AH220" s="1" t="s">
        <v>45</v>
      </c>
      <c r="AI220" s="1" t="s">
        <v>44</v>
      </c>
      <c r="AL220" s="1" t="str">
        <f t="shared" si="4"/>
        <v>"Didactisch materiaal","","","60000000","","unspsc","M","","","","","K","","A010","","601017","6161000200","False",""</v>
      </c>
    </row>
    <row r="221" spans="1:38" x14ac:dyDescent="0.25">
      <c r="A221" s="1">
        <v>100</v>
      </c>
      <c r="B221" s="2"/>
      <c r="C221" s="1" t="s">
        <v>31</v>
      </c>
      <c r="F221" s="2">
        <v>3</v>
      </c>
      <c r="G221" s="2" t="s">
        <v>148</v>
      </c>
      <c r="J221" s="2" t="s">
        <v>33</v>
      </c>
      <c r="K221" s="2" t="s">
        <v>187</v>
      </c>
      <c r="O221" s="3">
        <v>60000000</v>
      </c>
      <c r="Q221" s="1" t="s">
        <v>35</v>
      </c>
      <c r="R221" s="1" t="s">
        <v>36</v>
      </c>
      <c r="Y221" s="1" t="s">
        <v>37</v>
      </c>
      <c r="Z221" s="2"/>
      <c r="AA221" s="4">
        <v>60101704</v>
      </c>
      <c r="AB221" s="2" t="s">
        <v>199</v>
      </c>
      <c r="AC221" s="5" t="s">
        <v>38</v>
      </c>
      <c r="AD221" s="9">
        <v>0.06</v>
      </c>
      <c r="AE221" s="10" t="s">
        <v>39</v>
      </c>
      <c r="AF221" s="7"/>
      <c r="AG221" s="2"/>
      <c r="AH221" s="2"/>
      <c r="AI221" s="2" t="s">
        <v>40</v>
      </c>
      <c r="AJ221" s="2"/>
      <c r="AK221" s="2"/>
      <c r="AL221" s="1" t="str">
        <f t="shared" si="4"/>
        <v>"Maak je keuze","","","60000000","","unspsc","M","","","","","","","A010","","60101704","","True",""</v>
      </c>
    </row>
    <row r="222" spans="1:38" s="2" customFormat="1" x14ac:dyDescent="0.25">
      <c r="A222" s="1">
        <v>100</v>
      </c>
      <c r="B222" s="1"/>
      <c r="C222" s="1" t="s">
        <v>31</v>
      </c>
      <c r="D222" s="1"/>
      <c r="E222" s="1"/>
      <c r="F222" s="1">
        <v>3</v>
      </c>
      <c r="G222" s="1" t="s">
        <v>148</v>
      </c>
      <c r="H222" s="8">
        <v>3</v>
      </c>
      <c r="I222" s="8"/>
      <c r="J222" s="1" t="s">
        <v>45</v>
      </c>
      <c r="K222" s="1" t="s">
        <v>187</v>
      </c>
      <c r="L222" s="1"/>
      <c r="M222" s="1"/>
      <c r="N222" s="1"/>
      <c r="O222" s="11">
        <v>60000000</v>
      </c>
      <c r="P222" s="1"/>
      <c r="Q222" s="1" t="s">
        <v>35</v>
      </c>
      <c r="R222" s="1" t="s">
        <v>36</v>
      </c>
      <c r="S222" s="1"/>
      <c r="T222" s="1"/>
      <c r="U222" s="1"/>
      <c r="V222" s="1"/>
      <c r="W222" s="1" t="s">
        <v>42</v>
      </c>
      <c r="X222" s="1"/>
      <c r="Y222" s="1" t="s">
        <v>37</v>
      </c>
      <c r="Z222" s="1"/>
      <c r="AA222" s="12">
        <v>60101704</v>
      </c>
      <c r="AB222" s="1" t="s">
        <v>199</v>
      </c>
      <c r="AC222" s="12" t="s">
        <v>38</v>
      </c>
      <c r="AD222" s="13">
        <v>0.06</v>
      </c>
      <c r="AE222" s="14" t="s">
        <v>39</v>
      </c>
      <c r="AF222" s="15"/>
      <c r="AG222" s="1">
        <v>6161000200</v>
      </c>
      <c r="AH222" s="1" t="s">
        <v>45</v>
      </c>
      <c r="AI222" s="1" t="s">
        <v>44</v>
      </c>
      <c r="AJ222" s="1"/>
      <c r="AK222" s="1"/>
      <c r="AL222" s="1" t="str">
        <f t="shared" si="4"/>
        <v>"Didactisch materiaal","","","60000000","","unspsc","M","","","","","K","","A010","","60101704","6161000200","False",""</v>
      </c>
    </row>
    <row r="223" spans="1:38" x14ac:dyDescent="0.25">
      <c r="A223" s="1">
        <v>100</v>
      </c>
      <c r="C223" s="1" t="s">
        <v>31</v>
      </c>
      <c r="F223" s="1">
        <v>3</v>
      </c>
      <c r="G223" s="1" t="s">
        <v>148</v>
      </c>
      <c r="H223" s="8">
        <v>6</v>
      </c>
      <c r="J223" s="1" t="s">
        <v>108</v>
      </c>
      <c r="K223" s="1" t="s">
        <v>187</v>
      </c>
      <c r="O223" s="11">
        <v>60000000</v>
      </c>
      <c r="Q223" s="1" t="s">
        <v>35</v>
      </c>
      <c r="R223" s="1" t="s">
        <v>36</v>
      </c>
      <c r="W223" s="1" t="s">
        <v>42</v>
      </c>
      <c r="Y223" s="1" t="s">
        <v>37</v>
      </c>
      <c r="AA223" s="12">
        <v>60101704</v>
      </c>
      <c r="AB223" s="1" t="s">
        <v>199</v>
      </c>
      <c r="AC223" s="12" t="s">
        <v>38</v>
      </c>
      <c r="AD223" s="13">
        <v>0.06</v>
      </c>
      <c r="AE223" s="14" t="s">
        <v>39</v>
      </c>
      <c r="AF223" s="15"/>
      <c r="AG223" s="1">
        <v>6030000200</v>
      </c>
      <c r="AH223" s="1" t="s">
        <v>109</v>
      </c>
      <c r="AI223" s="1" t="s">
        <v>44</v>
      </c>
      <c r="AL223" s="1" t="str">
        <f t="shared" si="4"/>
        <v>"Doorverkoop onderwijs (niet max fac)","","","60000000","","unspsc","M","","","","","K","","A010","","60101704","6030000200","False",""</v>
      </c>
    </row>
    <row r="224" spans="1:38" x14ac:dyDescent="0.25">
      <c r="A224" s="1">
        <v>100</v>
      </c>
      <c r="C224" s="1" t="s">
        <v>31</v>
      </c>
      <c r="F224" s="1">
        <v>3</v>
      </c>
      <c r="G224" s="1" t="s">
        <v>148</v>
      </c>
      <c r="H224" s="8">
        <v>7</v>
      </c>
      <c r="J224" s="1" t="s">
        <v>119</v>
      </c>
      <c r="K224" s="1" t="s">
        <v>187</v>
      </c>
      <c r="O224" s="11">
        <v>60000000</v>
      </c>
      <c r="Q224" s="1" t="s">
        <v>35</v>
      </c>
      <c r="R224" s="1" t="s">
        <v>36</v>
      </c>
      <c r="W224" s="1" t="s">
        <v>42</v>
      </c>
      <c r="Y224" s="1" t="s">
        <v>37</v>
      </c>
      <c r="AA224" s="12">
        <v>60101704</v>
      </c>
      <c r="AB224" s="1" t="s">
        <v>199</v>
      </c>
      <c r="AC224" s="12" t="s">
        <v>38</v>
      </c>
      <c r="AD224" s="13">
        <v>0.06</v>
      </c>
      <c r="AE224" s="14" t="s">
        <v>39</v>
      </c>
      <c r="AF224" s="15"/>
      <c r="AG224" s="1">
        <v>6030000100</v>
      </c>
      <c r="AH224" s="1" t="s">
        <v>120</v>
      </c>
      <c r="AI224" s="1" t="s">
        <v>44</v>
      </c>
      <c r="AL224" s="1" t="str">
        <f t="shared" si="4"/>
        <v>"Maximumfactuur","","","60000000","","unspsc","M","","","","","K","","A010","","60101704","6030000100","False",""</v>
      </c>
    </row>
    <row r="225" spans="1:38" s="21" customFormat="1" x14ac:dyDescent="0.25">
      <c r="A225" s="1">
        <v>100</v>
      </c>
      <c r="B225" s="2"/>
      <c r="C225" s="1" t="s">
        <v>31</v>
      </c>
      <c r="D225" s="1"/>
      <c r="E225" s="1"/>
      <c r="F225" s="2">
        <v>3</v>
      </c>
      <c r="G225" s="2" t="s">
        <v>148</v>
      </c>
      <c r="H225" s="8"/>
      <c r="I225" s="8"/>
      <c r="J225" s="2" t="s">
        <v>33</v>
      </c>
      <c r="K225" s="2" t="s">
        <v>187</v>
      </c>
      <c r="L225" s="1"/>
      <c r="M225" s="1"/>
      <c r="N225" s="1"/>
      <c r="O225" s="3">
        <v>60000000</v>
      </c>
      <c r="P225" s="1"/>
      <c r="Q225" s="1" t="s">
        <v>35</v>
      </c>
      <c r="R225" s="1" t="s">
        <v>36</v>
      </c>
      <c r="S225" s="1"/>
      <c r="T225" s="1"/>
      <c r="U225" s="1"/>
      <c r="V225" s="1"/>
      <c r="W225" s="1"/>
      <c r="X225" s="1"/>
      <c r="Y225" s="1" t="s">
        <v>37</v>
      </c>
      <c r="Z225" s="2"/>
      <c r="AA225" s="4" t="s">
        <v>200</v>
      </c>
      <c r="AB225" s="2" t="s">
        <v>201</v>
      </c>
      <c r="AC225" s="5" t="s">
        <v>186</v>
      </c>
      <c r="AD225" s="9">
        <v>0.06</v>
      </c>
      <c r="AE225" s="10" t="s">
        <v>39</v>
      </c>
      <c r="AF225" s="7"/>
      <c r="AG225" s="3"/>
      <c r="AH225" s="2"/>
      <c r="AI225" s="2" t="s">
        <v>40</v>
      </c>
      <c r="AJ225" s="2"/>
      <c r="AK225" s="2"/>
      <c r="AL225" s="1" t="str">
        <f t="shared" si="4"/>
        <v>"Maak je keuze","","","60000000","","unspsc","M","","","","","","","A010","","601017X","","True",""</v>
      </c>
    </row>
    <row r="226" spans="1:38" s="21" customFormat="1" x14ac:dyDescent="0.25">
      <c r="A226" s="1">
        <v>100</v>
      </c>
      <c r="B226" s="1"/>
      <c r="C226" s="1" t="s">
        <v>31</v>
      </c>
      <c r="D226" s="1"/>
      <c r="E226" s="1"/>
      <c r="F226" s="1">
        <v>3</v>
      </c>
      <c r="G226" s="1" t="s">
        <v>148</v>
      </c>
      <c r="H226" s="8">
        <v>6</v>
      </c>
      <c r="I226" s="8"/>
      <c r="J226" s="1" t="s">
        <v>108</v>
      </c>
      <c r="K226" s="1" t="s">
        <v>187</v>
      </c>
      <c r="L226" s="1"/>
      <c r="M226" s="1"/>
      <c r="N226" s="1"/>
      <c r="O226" s="11">
        <v>60000000</v>
      </c>
      <c r="P226" s="1"/>
      <c r="Q226" s="1" t="s">
        <v>35</v>
      </c>
      <c r="R226" s="1" t="s">
        <v>36</v>
      </c>
      <c r="S226" s="1"/>
      <c r="T226" s="1"/>
      <c r="U226" s="1"/>
      <c r="V226" s="1"/>
      <c r="W226" s="1" t="s">
        <v>42</v>
      </c>
      <c r="X226" s="1"/>
      <c r="Y226" s="1" t="s">
        <v>37</v>
      </c>
      <c r="Z226" s="1"/>
      <c r="AA226" s="12" t="s">
        <v>200</v>
      </c>
      <c r="AB226" s="1" t="s">
        <v>201</v>
      </c>
      <c r="AC226" s="12" t="s">
        <v>186</v>
      </c>
      <c r="AD226" s="13">
        <v>0.06</v>
      </c>
      <c r="AE226" s="14" t="s">
        <v>39</v>
      </c>
      <c r="AF226" s="15"/>
      <c r="AG226" s="1">
        <v>6030000200</v>
      </c>
      <c r="AH226" s="1" t="s">
        <v>109</v>
      </c>
      <c r="AI226" s="1" t="s">
        <v>44</v>
      </c>
      <c r="AJ226" s="1"/>
      <c r="AK226" s="1"/>
      <c r="AL226" s="1" t="str">
        <f t="shared" si="4"/>
        <v>"Doorverkoop onderwijs (niet max fac)","","","60000000","","unspsc","M","","","","","K","","A010","","601017X","6030000200","False",""</v>
      </c>
    </row>
    <row r="227" spans="1:38" s="21" customFormat="1" x14ac:dyDescent="0.25">
      <c r="A227" s="1">
        <v>100</v>
      </c>
      <c r="B227" s="1"/>
      <c r="C227" s="1" t="s">
        <v>31</v>
      </c>
      <c r="D227" s="1"/>
      <c r="E227" s="1"/>
      <c r="F227" s="1">
        <v>3</v>
      </c>
      <c r="G227" s="1" t="s">
        <v>148</v>
      </c>
      <c r="H227" s="8">
        <v>7</v>
      </c>
      <c r="I227" s="8"/>
      <c r="J227" s="1" t="s">
        <v>119</v>
      </c>
      <c r="K227" s="1" t="s">
        <v>187</v>
      </c>
      <c r="L227" s="1"/>
      <c r="M227" s="1"/>
      <c r="N227" s="1"/>
      <c r="O227" s="11">
        <v>60000000</v>
      </c>
      <c r="P227" s="1"/>
      <c r="Q227" s="1" t="s">
        <v>35</v>
      </c>
      <c r="R227" s="1" t="s">
        <v>36</v>
      </c>
      <c r="S227" s="1"/>
      <c r="T227" s="1"/>
      <c r="U227" s="1"/>
      <c r="V227" s="1"/>
      <c r="W227" s="1" t="s">
        <v>42</v>
      </c>
      <c r="X227" s="1"/>
      <c r="Y227" s="1" t="s">
        <v>37</v>
      </c>
      <c r="Z227" s="1"/>
      <c r="AA227" s="12" t="s">
        <v>200</v>
      </c>
      <c r="AB227" s="1" t="s">
        <v>201</v>
      </c>
      <c r="AC227" s="12" t="s">
        <v>186</v>
      </c>
      <c r="AD227" s="13">
        <v>0.06</v>
      </c>
      <c r="AE227" s="14" t="s">
        <v>39</v>
      </c>
      <c r="AF227" s="15"/>
      <c r="AG227" s="1">
        <v>6030000100</v>
      </c>
      <c r="AH227" s="1" t="s">
        <v>120</v>
      </c>
      <c r="AI227" s="1" t="s">
        <v>44</v>
      </c>
      <c r="AJ227" s="1"/>
      <c r="AK227" s="1"/>
      <c r="AL227" s="1" t="str">
        <f t="shared" si="4"/>
        <v>"Maximumfactuur","","","60000000","","unspsc","M","","","","","K","","A010","","601017X","6030000100","False",""</v>
      </c>
    </row>
    <row r="228" spans="1:38" s="2" customFormat="1" x14ac:dyDescent="0.25">
      <c r="A228" s="1">
        <v>100</v>
      </c>
      <c r="B228" s="1"/>
      <c r="C228" s="1" t="s">
        <v>31</v>
      </c>
      <c r="D228" s="1"/>
      <c r="E228" s="1"/>
      <c r="F228" s="1">
        <v>3</v>
      </c>
      <c r="G228" s="1" t="s">
        <v>148</v>
      </c>
      <c r="H228" s="8">
        <v>3</v>
      </c>
      <c r="I228" s="8"/>
      <c r="J228" s="1" t="s">
        <v>45</v>
      </c>
      <c r="K228" s="1" t="s">
        <v>187</v>
      </c>
      <c r="L228" s="1"/>
      <c r="M228" s="1"/>
      <c r="N228" s="1"/>
      <c r="O228" s="11">
        <v>60000000</v>
      </c>
      <c r="P228" s="1"/>
      <c r="Q228" s="1" t="s">
        <v>35</v>
      </c>
      <c r="R228" s="1" t="s">
        <v>36</v>
      </c>
      <c r="S228" s="1"/>
      <c r="T228" s="1"/>
      <c r="U228" s="1"/>
      <c r="V228" s="1"/>
      <c r="W228" s="1" t="s">
        <v>42</v>
      </c>
      <c r="X228" s="1"/>
      <c r="Y228" s="1" t="s">
        <v>37</v>
      </c>
      <c r="Z228" s="1"/>
      <c r="AA228" s="12" t="s">
        <v>200</v>
      </c>
      <c r="AB228" s="1" t="s">
        <v>201</v>
      </c>
      <c r="AC228" s="12" t="s">
        <v>186</v>
      </c>
      <c r="AD228" s="13">
        <v>0.06</v>
      </c>
      <c r="AE228" s="14" t="s">
        <v>39</v>
      </c>
      <c r="AF228" s="15"/>
      <c r="AG228" s="1">
        <v>6161000200</v>
      </c>
      <c r="AH228" s="1" t="s">
        <v>45</v>
      </c>
      <c r="AI228" s="1" t="s">
        <v>44</v>
      </c>
      <c r="AJ228" s="1"/>
      <c r="AK228" s="1"/>
      <c r="AL228" s="1" t="str">
        <f t="shared" si="4"/>
        <v>"Didactisch materiaal","","","60000000","","unspsc","M","","","","","K","","A010","","601017X","6161000200","False",""</v>
      </c>
    </row>
    <row r="229" spans="1:38" s="2" customFormat="1" x14ac:dyDescent="0.25">
      <c r="A229" s="1">
        <v>100</v>
      </c>
      <c r="C229" s="1" t="s">
        <v>62</v>
      </c>
      <c r="D229" s="1"/>
      <c r="E229" s="1"/>
      <c r="F229" s="2">
        <v>3</v>
      </c>
      <c r="G229" s="2" t="s">
        <v>148</v>
      </c>
      <c r="H229" s="8"/>
      <c r="I229" s="8"/>
      <c r="J229" s="2" t="s">
        <v>33</v>
      </c>
      <c r="K229" s="2" t="s">
        <v>187</v>
      </c>
      <c r="L229" s="1"/>
      <c r="M229" s="1"/>
      <c r="N229" s="1"/>
      <c r="O229" s="3">
        <v>60000000</v>
      </c>
      <c r="P229" s="1"/>
      <c r="Q229" s="1" t="s">
        <v>35</v>
      </c>
      <c r="R229" s="1" t="s">
        <v>36</v>
      </c>
      <c r="S229" s="1"/>
      <c r="T229" s="1"/>
      <c r="U229" s="1"/>
      <c r="V229" s="1"/>
      <c r="W229" s="1"/>
      <c r="X229" s="1"/>
      <c r="Y229" s="1" t="s">
        <v>37</v>
      </c>
      <c r="AA229" s="4">
        <v>601315</v>
      </c>
      <c r="AB229" s="2" t="s">
        <v>202</v>
      </c>
      <c r="AC229" s="5" t="s">
        <v>91</v>
      </c>
      <c r="AD229" s="9">
        <v>0.21</v>
      </c>
      <c r="AE229" s="10" t="s">
        <v>53</v>
      </c>
      <c r="AF229" s="7"/>
      <c r="AI229" s="2" t="s">
        <v>40</v>
      </c>
      <c r="AL229" s="1" t="str">
        <f t="shared" si="4"/>
        <v>"Maak je keuze","","","60000000","","unspsc","M","","","","","","","A010","","601315","","True",""</v>
      </c>
    </row>
    <row r="230" spans="1:38" x14ac:dyDescent="0.25">
      <c r="A230" s="1">
        <v>100</v>
      </c>
      <c r="C230" s="1" t="s">
        <v>62</v>
      </c>
      <c r="F230" s="1">
        <v>3</v>
      </c>
      <c r="G230" s="1" t="s">
        <v>148</v>
      </c>
      <c r="H230" s="8">
        <v>17</v>
      </c>
      <c r="J230" s="1" t="s">
        <v>41</v>
      </c>
      <c r="K230" s="1" t="s">
        <v>187</v>
      </c>
      <c r="O230" s="11">
        <v>60000000</v>
      </c>
      <c r="Q230" s="1" t="s">
        <v>35</v>
      </c>
      <c r="R230" s="1" t="s">
        <v>36</v>
      </c>
      <c r="W230" s="1" t="s">
        <v>42</v>
      </c>
      <c r="Y230" s="1" t="s">
        <v>37</v>
      </c>
      <c r="AA230" s="12">
        <v>601315</v>
      </c>
      <c r="AB230" s="1" t="s">
        <v>202</v>
      </c>
      <c r="AC230" s="12" t="s">
        <v>91</v>
      </c>
      <c r="AD230" s="13">
        <v>0.21</v>
      </c>
      <c r="AE230" s="14" t="s">
        <v>53</v>
      </c>
      <c r="AF230" s="15"/>
      <c r="AG230" s="1">
        <v>6141000100</v>
      </c>
      <c r="AH230" s="1" t="s">
        <v>92</v>
      </c>
      <c r="AI230" s="1" t="s">
        <v>44</v>
      </c>
      <c r="AL230" s="1" t="str">
        <f t="shared" si="4"/>
        <v>"Operationele werking","","","60000000","","unspsc","M","","","","","K","","A010","","601315","6141000100","False",""</v>
      </c>
    </row>
    <row r="231" spans="1:38" x14ac:dyDescent="0.25">
      <c r="A231" s="1">
        <v>100</v>
      </c>
      <c r="C231" s="1" t="s">
        <v>62</v>
      </c>
      <c r="F231" s="1">
        <v>3</v>
      </c>
      <c r="G231" s="1" t="s">
        <v>148</v>
      </c>
      <c r="H231" s="8">
        <v>3</v>
      </c>
      <c r="J231" s="1" t="s">
        <v>45</v>
      </c>
      <c r="K231" s="1" t="s">
        <v>187</v>
      </c>
      <c r="O231" s="11">
        <v>60000000</v>
      </c>
      <c r="Q231" s="1" t="s">
        <v>35</v>
      </c>
      <c r="R231" s="1" t="s">
        <v>36</v>
      </c>
      <c r="W231" s="1" t="s">
        <v>42</v>
      </c>
      <c r="Y231" s="1" t="s">
        <v>37</v>
      </c>
      <c r="AA231" s="12">
        <v>601315</v>
      </c>
      <c r="AB231" s="1" t="s">
        <v>202</v>
      </c>
      <c r="AC231" s="12" t="s">
        <v>91</v>
      </c>
      <c r="AD231" s="13">
        <v>0.21</v>
      </c>
      <c r="AE231" s="14" t="s">
        <v>53</v>
      </c>
      <c r="AF231" s="15"/>
      <c r="AG231" s="1">
        <v>6161000200</v>
      </c>
      <c r="AH231" s="1" t="s">
        <v>45</v>
      </c>
      <c r="AI231" s="1" t="s">
        <v>44</v>
      </c>
      <c r="AL231" s="1" t="str">
        <f t="shared" si="4"/>
        <v>"Didactisch materiaal","","","60000000","","unspsc","M","","","","","K","","A010","","601315","6161000200","False",""</v>
      </c>
    </row>
    <row r="232" spans="1:38" s="30" customFormat="1" x14ac:dyDescent="0.25">
      <c r="A232" s="1">
        <v>100</v>
      </c>
      <c r="B232" s="2"/>
      <c r="C232" s="1" t="s">
        <v>62</v>
      </c>
      <c r="D232" s="1"/>
      <c r="E232" s="1"/>
      <c r="F232" s="2">
        <v>3</v>
      </c>
      <c r="G232" s="2" t="s">
        <v>148</v>
      </c>
      <c r="H232" s="8"/>
      <c r="I232" s="8"/>
      <c r="J232" s="2" t="s">
        <v>33</v>
      </c>
      <c r="K232" s="2" t="s">
        <v>187</v>
      </c>
      <c r="L232" s="1"/>
      <c r="M232" s="1"/>
      <c r="N232" s="1"/>
      <c r="O232" s="3">
        <v>60000000</v>
      </c>
      <c r="P232" s="1"/>
      <c r="Q232" s="1" t="s">
        <v>35</v>
      </c>
      <c r="R232" s="1" t="s">
        <v>36</v>
      </c>
      <c r="S232" s="1"/>
      <c r="T232" s="1"/>
      <c r="U232" s="1"/>
      <c r="V232" s="1"/>
      <c r="W232" s="1"/>
      <c r="X232" s="1"/>
      <c r="Y232" s="1" t="s">
        <v>37</v>
      </c>
      <c r="Z232" s="2"/>
      <c r="AA232" s="4">
        <v>601243</v>
      </c>
      <c r="AB232" s="2" t="s">
        <v>203</v>
      </c>
      <c r="AC232" s="5" t="s">
        <v>65</v>
      </c>
      <c r="AD232" s="9">
        <v>0.21</v>
      </c>
      <c r="AE232" s="10" t="s">
        <v>39</v>
      </c>
      <c r="AF232" s="7"/>
      <c r="AG232" s="2"/>
      <c r="AH232" s="2"/>
      <c r="AI232" s="2" t="s">
        <v>40</v>
      </c>
      <c r="AJ232" s="2"/>
      <c r="AK232" s="2"/>
      <c r="AL232" s="1" t="str">
        <f t="shared" si="4"/>
        <v>"Maak je keuze","","","60000000","","unspsc","M","","","","","","","A010","","601243","","True",""</v>
      </c>
    </row>
    <row r="233" spans="1:38" s="30" customFormat="1" x14ac:dyDescent="0.25">
      <c r="A233" s="1">
        <v>100</v>
      </c>
      <c r="B233" s="1"/>
      <c r="C233" s="1" t="s">
        <v>62</v>
      </c>
      <c r="D233" s="1"/>
      <c r="E233" s="1"/>
      <c r="F233" s="1">
        <v>3</v>
      </c>
      <c r="G233" s="1" t="s">
        <v>148</v>
      </c>
      <c r="H233" s="8">
        <v>3</v>
      </c>
      <c r="I233" s="8"/>
      <c r="J233" s="1" t="s">
        <v>45</v>
      </c>
      <c r="K233" s="1" t="s">
        <v>187</v>
      </c>
      <c r="L233" s="1"/>
      <c r="M233" s="1"/>
      <c r="N233" s="1"/>
      <c r="O233" s="11">
        <v>60000000</v>
      </c>
      <c r="P233" s="1"/>
      <c r="Q233" s="1" t="s">
        <v>35</v>
      </c>
      <c r="R233" s="1" t="s">
        <v>36</v>
      </c>
      <c r="S233" s="1"/>
      <c r="T233" s="1"/>
      <c r="U233" s="1"/>
      <c r="V233" s="1"/>
      <c r="W233" s="1" t="s">
        <v>42</v>
      </c>
      <c r="X233" s="1"/>
      <c r="Y233" s="1" t="s">
        <v>37</v>
      </c>
      <c r="Z233" s="1"/>
      <c r="AA233" s="12">
        <v>601243</v>
      </c>
      <c r="AB233" s="1" t="s">
        <v>203</v>
      </c>
      <c r="AC233" s="12" t="s">
        <v>65</v>
      </c>
      <c r="AD233" s="13">
        <v>0.21</v>
      </c>
      <c r="AE233" s="14" t="s">
        <v>39</v>
      </c>
      <c r="AF233" s="15"/>
      <c r="AG233" s="1">
        <v>6161000200</v>
      </c>
      <c r="AH233" s="1" t="s">
        <v>45</v>
      </c>
      <c r="AI233" s="1" t="s">
        <v>44</v>
      </c>
      <c r="AJ233" s="1"/>
      <c r="AK233" s="1"/>
      <c r="AL233" s="1" t="str">
        <f t="shared" si="4"/>
        <v>"Didactisch materiaal","","","60000000","","unspsc","M","","","","","K","","A010","","601243","6161000200","False",""</v>
      </c>
    </row>
    <row r="234" spans="1:38" s="30" customFormat="1" x14ac:dyDescent="0.25">
      <c r="A234" s="1">
        <v>100</v>
      </c>
      <c r="B234" s="1"/>
      <c r="C234" s="1" t="s">
        <v>62</v>
      </c>
      <c r="D234" s="1"/>
      <c r="E234" s="1"/>
      <c r="F234" s="1">
        <v>3</v>
      </c>
      <c r="G234" s="1" t="s">
        <v>148</v>
      </c>
      <c r="H234" s="8">
        <v>6</v>
      </c>
      <c r="I234" s="8"/>
      <c r="J234" s="1" t="s">
        <v>108</v>
      </c>
      <c r="K234" s="1" t="s">
        <v>187</v>
      </c>
      <c r="L234" s="1"/>
      <c r="M234" s="1"/>
      <c r="N234" s="1"/>
      <c r="O234" s="11">
        <v>60000000</v>
      </c>
      <c r="P234" s="1"/>
      <c r="Q234" s="1" t="s">
        <v>35</v>
      </c>
      <c r="R234" s="1" t="s">
        <v>36</v>
      </c>
      <c r="S234" s="1"/>
      <c r="T234" s="1"/>
      <c r="U234" s="1"/>
      <c r="V234" s="1"/>
      <c r="W234" s="1" t="s">
        <v>42</v>
      </c>
      <c r="X234" s="1"/>
      <c r="Y234" s="1" t="s">
        <v>37</v>
      </c>
      <c r="Z234" s="1"/>
      <c r="AA234" s="12">
        <v>601243</v>
      </c>
      <c r="AB234" s="1" t="s">
        <v>203</v>
      </c>
      <c r="AC234" s="12" t="s">
        <v>65</v>
      </c>
      <c r="AD234" s="13">
        <v>0.21</v>
      </c>
      <c r="AE234" s="14" t="s">
        <v>39</v>
      </c>
      <c r="AF234" s="15"/>
      <c r="AG234" s="1">
        <v>6030000200</v>
      </c>
      <c r="AH234" s="1" t="s">
        <v>109</v>
      </c>
      <c r="AI234" s="1" t="s">
        <v>44</v>
      </c>
      <c r="AJ234" s="1"/>
      <c r="AK234" s="1"/>
      <c r="AL234" s="1" t="str">
        <f t="shared" si="4"/>
        <v>"Doorverkoop onderwijs (niet max fac)","","","60000000","","unspsc","M","","","","","K","","A010","","601243","6030000200","False",""</v>
      </c>
    </row>
    <row r="235" spans="1:38" x14ac:dyDescent="0.25">
      <c r="A235" s="1">
        <v>100</v>
      </c>
      <c r="B235" s="2"/>
      <c r="C235" s="1" t="s">
        <v>62</v>
      </c>
      <c r="F235" s="2">
        <v>3</v>
      </c>
      <c r="G235" s="2" t="s">
        <v>148</v>
      </c>
      <c r="J235" s="2" t="s">
        <v>33</v>
      </c>
      <c r="K235" s="2" t="s">
        <v>187</v>
      </c>
      <c r="O235" s="3">
        <v>60000000</v>
      </c>
      <c r="Q235" s="1" t="s">
        <v>35</v>
      </c>
      <c r="R235" s="1" t="s">
        <v>36</v>
      </c>
      <c r="Y235" s="1" t="s">
        <v>37</v>
      </c>
      <c r="Z235" s="2"/>
      <c r="AA235" s="4">
        <v>601058</v>
      </c>
      <c r="AB235" s="2" t="s">
        <v>204</v>
      </c>
      <c r="AC235" s="5" t="s">
        <v>65</v>
      </c>
      <c r="AD235" s="9">
        <v>0.21</v>
      </c>
      <c r="AE235" s="10" t="s">
        <v>39</v>
      </c>
      <c r="AF235" s="7"/>
      <c r="AG235" s="2"/>
      <c r="AH235" s="2"/>
      <c r="AI235" s="2" t="s">
        <v>40</v>
      </c>
      <c r="AJ235" s="2"/>
      <c r="AK235" s="2"/>
      <c r="AL235" s="1" t="str">
        <f t="shared" si="4"/>
        <v>"Maak je keuze","","","60000000","","unspsc","M","","","","","","","A010","","601058","","True",""</v>
      </c>
    </row>
    <row r="236" spans="1:38" s="2" customFormat="1" x14ac:dyDescent="0.25">
      <c r="A236" s="1">
        <v>100</v>
      </c>
      <c r="B236" s="1"/>
      <c r="C236" s="1" t="s">
        <v>62</v>
      </c>
      <c r="D236" s="1"/>
      <c r="E236" s="1"/>
      <c r="F236" s="1">
        <v>3</v>
      </c>
      <c r="G236" s="1" t="s">
        <v>148</v>
      </c>
      <c r="H236" s="8">
        <v>3</v>
      </c>
      <c r="I236" s="8"/>
      <c r="J236" s="1" t="s">
        <v>45</v>
      </c>
      <c r="K236" s="1" t="s">
        <v>187</v>
      </c>
      <c r="L236" s="1"/>
      <c r="M236" s="1"/>
      <c r="N236" s="1"/>
      <c r="O236" s="11">
        <v>60000000</v>
      </c>
      <c r="P236" s="1"/>
      <c r="Q236" s="1" t="s">
        <v>35</v>
      </c>
      <c r="R236" s="1" t="s">
        <v>36</v>
      </c>
      <c r="S236" s="1"/>
      <c r="T236" s="1"/>
      <c r="U236" s="1"/>
      <c r="V236" s="1"/>
      <c r="W236" s="1" t="s">
        <v>42</v>
      </c>
      <c r="X236" s="1"/>
      <c r="Y236" s="1" t="s">
        <v>37</v>
      </c>
      <c r="Z236" s="1"/>
      <c r="AA236" s="12">
        <v>601058</v>
      </c>
      <c r="AB236" s="1" t="s">
        <v>204</v>
      </c>
      <c r="AC236" s="12" t="s">
        <v>65</v>
      </c>
      <c r="AD236" s="13">
        <v>0.21</v>
      </c>
      <c r="AE236" s="14" t="s">
        <v>39</v>
      </c>
      <c r="AF236" s="15"/>
      <c r="AG236" s="1">
        <v>6161000200</v>
      </c>
      <c r="AH236" s="1" t="s">
        <v>45</v>
      </c>
      <c r="AI236" s="1" t="s">
        <v>44</v>
      </c>
      <c r="AJ236" s="1"/>
      <c r="AK236" s="1"/>
      <c r="AL236" s="1" t="str">
        <f t="shared" si="4"/>
        <v>"Didactisch materiaal","","","60000000","","unspsc","M","","","","","K","","A010","","601058","6161000200","False",""</v>
      </c>
    </row>
    <row r="237" spans="1:38" x14ac:dyDescent="0.25">
      <c r="A237" s="1">
        <v>100</v>
      </c>
      <c r="C237" s="1" t="s">
        <v>62</v>
      </c>
      <c r="F237" s="1">
        <v>3</v>
      </c>
      <c r="G237" s="1" t="s">
        <v>148</v>
      </c>
      <c r="H237" s="8">
        <v>6</v>
      </c>
      <c r="J237" s="1" t="s">
        <v>108</v>
      </c>
      <c r="K237" s="1" t="s">
        <v>187</v>
      </c>
      <c r="O237" s="11">
        <v>60000000</v>
      </c>
      <c r="Q237" s="1" t="s">
        <v>35</v>
      </c>
      <c r="R237" s="1" t="s">
        <v>36</v>
      </c>
      <c r="W237" s="1" t="s">
        <v>42</v>
      </c>
      <c r="Y237" s="1" t="s">
        <v>37</v>
      </c>
      <c r="AA237" s="12">
        <v>601058</v>
      </c>
      <c r="AB237" s="1" t="s">
        <v>204</v>
      </c>
      <c r="AC237" s="12" t="s">
        <v>65</v>
      </c>
      <c r="AD237" s="13">
        <v>0.21</v>
      </c>
      <c r="AE237" s="14" t="s">
        <v>39</v>
      </c>
      <c r="AF237" s="15"/>
      <c r="AG237" s="1">
        <v>6030000200</v>
      </c>
      <c r="AH237" s="1" t="s">
        <v>109</v>
      </c>
      <c r="AI237" s="1" t="s">
        <v>44</v>
      </c>
      <c r="AL237" s="1" t="str">
        <f t="shared" si="4"/>
        <v>"Doorverkoop onderwijs (niet max fac)","","","60000000","","unspsc","M","","","","","K","","A010","","601058","6030000200","False",""</v>
      </c>
    </row>
    <row r="238" spans="1:38" x14ac:dyDescent="0.25">
      <c r="A238" s="1">
        <v>100</v>
      </c>
      <c r="B238" s="2"/>
      <c r="C238" s="1" t="s">
        <v>62</v>
      </c>
      <c r="F238" s="2">
        <v>3</v>
      </c>
      <c r="G238" s="2" t="s">
        <v>148</v>
      </c>
      <c r="J238" s="2" t="s">
        <v>33</v>
      </c>
      <c r="K238" s="2" t="s">
        <v>187</v>
      </c>
      <c r="O238" s="3">
        <v>60000000</v>
      </c>
      <c r="Q238" s="1" t="s">
        <v>35</v>
      </c>
      <c r="R238" s="1" t="s">
        <v>36</v>
      </c>
      <c r="Y238" s="1" t="s">
        <v>37</v>
      </c>
      <c r="Z238" s="2"/>
      <c r="AA238" s="4">
        <v>601211</v>
      </c>
      <c r="AB238" s="2" t="s">
        <v>205</v>
      </c>
      <c r="AC238" s="5" t="s">
        <v>65</v>
      </c>
      <c r="AD238" s="9">
        <v>0.21</v>
      </c>
      <c r="AE238" s="10" t="s">
        <v>39</v>
      </c>
      <c r="AF238" s="7"/>
      <c r="AG238" s="2"/>
      <c r="AH238" s="2"/>
      <c r="AI238" s="2" t="s">
        <v>40</v>
      </c>
      <c r="AJ238" s="2"/>
      <c r="AK238" s="2"/>
      <c r="AL238" s="1" t="str">
        <f t="shared" si="4"/>
        <v>"Maak je keuze","","","60000000","","unspsc","M","","","","","","","A010","","601211","","True",""</v>
      </c>
    </row>
    <row r="239" spans="1:38" s="21" customFormat="1" x14ac:dyDescent="0.25">
      <c r="A239" s="1">
        <v>100</v>
      </c>
      <c r="B239" s="1"/>
      <c r="C239" s="1" t="s">
        <v>62</v>
      </c>
      <c r="D239" s="1"/>
      <c r="E239" s="1"/>
      <c r="F239" s="1">
        <v>3</v>
      </c>
      <c r="G239" s="1" t="s">
        <v>148</v>
      </c>
      <c r="H239" s="8">
        <v>3</v>
      </c>
      <c r="I239" s="8"/>
      <c r="J239" s="1" t="s">
        <v>45</v>
      </c>
      <c r="K239" s="1" t="s">
        <v>187</v>
      </c>
      <c r="L239" s="1"/>
      <c r="M239" s="1"/>
      <c r="N239" s="1"/>
      <c r="O239" s="11">
        <v>60000000</v>
      </c>
      <c r="P239" s="1"/>
      <c r="Q239" s="1" t="s">
        <v>35</v>
      </c>
      <c r="R239" s="1" t="s">
        <v>36</v>
      </c>
      <c r="S239" s="1"/>
      <c r="T239" s="1"/>
      <c r="U239" s="1"/>
      <c r="V239" s="1"/>
      <c r="W239" s="1" t="s">
        <v>42</v>
      </c>
      <c r="X239" s="1"/>
      <c r="Y239" s="1" t="s">
        <v>37</v>
      </c>
      <c r="Z239" s="1"/>
      <c r="AA239" s="12">
        <v>601211</v>
      </c>
      <c r="AB239" s="1" t="s">
        <v>205</v>
      </c>
      <c r="AC239" s="12" t="s">
        <v>65</v>
      </c>
      <c r="AD239" s="13">
        <v>0.21</v>
      </c>
      <c r="AE239" s="14" t="s">
        <v>39</v>
      </c>
      <c r="AF239" s="15"/>
      <c r="AG239" s="1">
        <v>6161000200</v>
      </c>
      <c r="AH239" s="1" t="s">
        <v>45</v>
      </c>
      <c r="AI239" s="1" t="s">
        <v>44</v>
      </c>
      <c r="AJ239" s="1"/>
      <c r="AK239" s="1"/>
      <c r="AL239" s="1" t="str">
        <f t="shared" si="4"/>
        <v>"Didactisch materiaal","","","60000000","","unspsc","M","","","","","K","","A010","","601211","6161000200","False",""</v>
      </c>
    </row>
    <row r="240" spans="1:38" s="21" customFormat="1" x14ac:dyDescent="0.25">
      <c r="A240" s="1">
        <v>100</v>
      </c>
      <c r="B240" s="1"/>
      <c r="C240" s="1" t="s">
        <v>62</v>
      </c>
      <c r="D240" s="1"/>
      <c r="E240" s="1"/>
      <c r="F240" s="1">
        <v>3</v>
      </c>
      <c r="G240" s="1" t="s">
        <v>148</v>
      </c>
      <c r="H240" s="8">
        <v>6</v>
      </c>
      <c r="I240" s="8"/>
      <c r="J240" s="1" t="s">
        <v>108</v>
      </c>
      <c r="K240" s="1" t="s">
        <v>187</v>
      </c>
      <c r="L240" s="1"/>
      <c r="M240" s="1"/>
      <c r="N240" s="1"/>
      <c r="O240" s="11">
        <v>60000000</v>
      </c>
      <c r="P240" s="1"/>
      <c r="Q240" s="1" t="s">
        <v>35</v>
      </c>
      <c r="R240" s="1" t="s">
        <v>36</v>
      </c>
      <c r="S240" s="1"/>
      <c r="T240" s="1"/>
      <c r="U240" s="1"/>
      <c r="V240" s="1"/>
      <c r="W240" s="1" t="s">
        <v>42</v>
      </c>
      <c r="X240" s="1"/>
      <c r="Y240" s="1" t="s">
        <v>37</v>
      </c>
      <c r="Z240" s="1"/>
      <c r="AA240" s="12">
        <v>601211</v>
      </c>
      <c r="AB240" s="1" t="s">
        <v>205</v>
      </c>
      <c r="AC240" s="12" t="s">
        <v>65</v>
      </c>
      <c r="AD240" s="13">
        <v>0.21</v>
      </c>
      <c r="AE240" s="14" t="s">
        <v>39</v>
      </c>
      <c r="AF240" s="15"/>
      <c r="AG240" s="1">
        <v>6030000200</v>
      </c>
      <c r="AH240" s="1" t="s">
        <v>109</v>
      </c>
      <c r="AI240" s="1" t="s">
        <v>44</v>
      </c>
      <c r="AJ240" s="1"/>
      <c r="AK240" s="1"/>
      <c r="AL240" s="1" t="str">
        <f t="shared" si="4"/>
        <v>"Doorverkoop onderwijs (niet max fac)","","","60000000","","unspsc","M","","","","","K","","A010","","601211","6030000200","False",""</v>
      </c>
    </row>
    <row r="241" spans="1:38" x14ac:dyDescent="0.25">
      <c r="A241" s="1">
        <v>100</v>
      </c>
      <c r="B241" s="2"/>
      <c r="C241" s="1" t="s">
        <v>62</v>
      </c>
      <c r="F241" s="2">
        <v>3</v>
      </c>
      <c r="G241" s="2" t="s">
        <v>148</v>
      </c>
      <c r="J241" s="2" t="s">
        <v>33</v>
      </c>
      <c r="K241" s="2" t="s">
        <v>187</v>
      </c>
      <c r="O241" s="3">
        <v>60000000</v>
      </c>
      <c r="Q241" s="1" t="s">
        <v>35</v>
      </c>
      <c r="R241" s="1" t="s">
        <v>36</v>
      </c>
      <c r="Y241" s="1" t="s">
        <v>37</v>
      </c>
      <c r="Z241" s="2"/>
      <c r="AA241" s="4">
        <v>60106201</v>
      </c>
      <c r="AB241" s="2" t="s">
        <v>206</v>
      </c>
      <c r="AC241" s="5" t="s">
        <v>38</v>
      </c>
      <c r="AD241" s="9">
        <v>0.06</v>
      </c>
      <c r="AE241" s="10" t="s">
        <v>39</v>
      </c>
      <c r="AF241" s="7"/>
      <c r="AG241" s="2"/>
      <c r="AH241" s="2"/>
      <c r="AI241" s="2" t="s">
        <v>40</v>
      </c>
      <c r="AJ241" s="2"/>
      <c r="AK241" s="2"/>
      <c r="AL241" s="1" t="str">
        <f t="shared" si="4"/>
        <v>"Maak je keuze","","","60000000","","unspsc","M","","","","","","","A010","","60106201","","True",""</v>
      </c>
    </row>
    <row r="242" spans="1:38" s="2" customFormat="1" x14ac:dyDescent="0.25">
      <c r="A242" s="1">
        <v>100</v>
      </c>
      <c r="B242" s="1"/>
      <c r="C242" s="1" t="s">
        <v>62</v>
      </c>
      <c r="D242" s="1"/>
      <c r="E242" s="1"/>
      <c r="F242" s="1">
        <v>3</v>
      </c>
      <c r="G242" s="1" t="s">
        <v>148</v>
      </c>
      <c r="H242" s="8">
        <v>2</v>
      </c>
      <c r="I242" s="8"/>
      <c r="J242" s="1" t="s">
        <v>57</v>
      </c>
      <c r="K242" s="1" t="s">
        <v>187</v>
      </c>
      <c r="L242" s="1"/>
      <c r="M242" s="1"/>
      <c r="N242" s="1"/>
      <c r="O242" s="11">
        <v>60000000</v>
      </c>
      <c r="P242" s="1"/>
      <c r="Q242" s="1" t="s">
        <v>35</v>
      </c>
      <c r="R242" s="1" t="s">
        <v>36</v>
      </c>
      <c r="S242" s="1"/>
      <c r="T242" s="1"/>
      <c r="U242" s="1"/>
      <c r="V242" s="1"/>
      <c r="W242" s="1" t="s">
        <v>42</v>
      </c>
      <c r="X242" s="1"/>
      <c r="Y242" s="1" t="s">
        <v>37</v>
      </c>
      <c r="Z242" s="1"/>
      <c r="AA242" s="12">
        <v>60106201</v>
      </c>
      <c r="AB242" s="1" t="s">
        <v>206</v>
      </c>
      <c r="AC242" s="12" t="s">
        <v>38</v>
      </c>
      <c r="AD242" s="13">
        <v>0.06</v>
      </c>
      <c r="AE242" s="14" t="s">
        <v>39</v>
      </c>
      <c r="AF242" s="15"/>
      <c r="AG242" s="1">
        <v>6030000300</v>
      </c>
      <c r="AH242" s="1" t="s">
        <v>58</v>
      </c>
      <c r="AI242" s="1" t="s">
        <v>44</v>
      </c>
      <c r="AJ242" s="1"/>
      <c r="AK242" s="1"/>
      <c r="AL242" s="1" t="str">
        <f t="shared" si="4"/>
        <v>"Aankoop voor doorverkoop niet onderwijs","","","60000000","","unspsc","M","","","","","K","","A010","","60106201","6030000300","False",""</v>
      </c>
    </row>
    <row r="243" spans="1:38" x14ac:dyDescent="0.25">
      <c r="A243" s="1">
        <v>100</v>
      </c>
      <c r="C243" s="1" t="s">
        <v>62</v>
      </c>
      <c r="F243" s="1">
        <v>3</v>
      </c>
      <c r="G243" s="1" t="s">
        <v>148</v>
      </c>
      <c r="H243" s="8">
        <v>3</v>
      </c>
      <c r="J243" s="1" t="s">
        <v>45</v>
      </c>
      <c r="K243" s="1" t="s">
        <v>187</v>
      </c>
      <c r="O243" s="11">
        <v>60000000</v>
      </c>
      <c r="Q243" s="1" t="s">
        <v>35</v>
      </c>
      <c r="R243" s="1" t="s">
        <v>36</v>
      </c>
      <c r="W243" s="1" t="s">
        <v>42</v>
      </c>
      <c r="Y243" s="1" t="s">
        <v>37</v>
      </c>
      <c r="AA243" s="12">
        <v>60106201</v>
      </c>
      <c r="AB243" s="1" t="s">
        <v>206</v>
      </c>
      <c r="AC243" s="12" t="s">
        <v>38</v>
      </c>
      <c r="AD243" s="13">
        <v>0.06</v>
      </c>
      <c r="AE243" s="14" t="s">
        <v>39</v>
      </c>
      <c r="AF243" s="15"/>
      <c r="AG243" s="1">
        <v>6161000200</v>
      </c>
      <c r="AH243" s="1" t="s">
        <v>45</v>
      </c>
      <c r="AI243" s="1" t="s">
        <v>44</v>
      </c>
      <c r="AL243" s="1" t="str">
        <f t="shared" si="4"/>
        <v>"Didactisch materiaal","","","60000000","","unspsc","M","","","","","K","","A010","","60106201","6161000200","False",""</v>
      </c>
    </row>
    <row r="244" spans="1:38" x14ac:dyDescent="0.25">
      <c r="A244" s="1">
        <v>100</v>
      </c>
      <c r="B244" s="2"/>
      <c r="C244" s="1" t="s">
        <v>62</v>
      </c>
      <c r="F244" s="2">
        <v>3</v>
      </c>
      <c r="G244" s="2" t="s">
        <v>148</v>
      </c>
      <c r="J244" s="2" t="s">
        <v>33</v>
      </c>
      <c r="K244" s="2" t="s">
        <v>187</v>
      </c>
      <c r="O244" s="3">
        <v>60000000</v>
      </c>
      <c r="Q244" s="1" t="s">
        <v>35</v>
      </c>
      <c r="R244" s="1" t="s">
        <v>36</v>
      </c>
      <c r="Y244" s="1" t="s">
        <v>37</v>
      </c>
      <c r="Z244" s="2"/>
      <c r="AA244" s="4" t="s">
        <v>207</v>
      </c>
      <c r="AB244" s="2" t="s">
        <v>208</v>
      </c>
      <c r="AC244" s="5" t="s">
        <v>65</v>
      </c>
      <c r="AD244" s="9">
        <v>0.21</v>
      </c>
      <c r="AE244" s="10" t="s">
        <v>39</v>
      </c>
      <c r="AF244" s="7"/>
      <c r="AG244" s="2"/>
      <c r="AH244" s="2"/>
      <c r="AI244" s="2" t="s">
        <v>40</v>
      </c>
      <c r="AJ244" s="2"/>
      <c r="AK244" s="2"/>
      <c r="AL244" s="1" t="str">
        <f t="shared" si="4"/>
        <v>"Maak je keuze","","","60000000","","unspsc","M","","","","","","","A010","","6010B","","True",""</v>
      </c>
    </row>
    <row r="245" spans="1:38" x14ac:dyDescent="0.25">
      <c r="A245" s="1">
        <v>100</v>
      </c>
      <c r="C245" s="1" t="s">
        <v>31</v>
      </c>
      <c r="F245" s="1">
        <v>3</v>
      </c>
      <c r="G245" s="1" t="s">
        <v>148</v>
      </c>
      <c r="H245" s="8">
        <v>3</v>
      </c>
      <c r="J245" s="1" t="s">
        <v>45</v>
      </c>
      <c r="K245" s="1" t="s">
        <v>187</v>
      </c>
      <c r="O245" s="11">
        <v>60000000</v>
      </c>
      <c r="Q245" s="1" t="s">
        <v>35</v>
      </c>
      <c r="R245" s="1" t="s">
        <v>36</v>
      </c>
      <c r="W245" s="1" t="s">
        <v>42</v>
      </c>
      <c r="Y245" s="1" t="s">
        <v>37</v>
      </c>
      <c r="AA245" s="12" t="s">
        <v>207</v>
      </c>
      <c r="AB245" s="1" t="s">
        <v>208</v>
      </c>
      <c r="AC245" s="12" t="s">
        <v>65</v>
      </c>
      <c r="AD245" s="13">
        <v>0.21</v>
      </c>
      <c r="AE245" s="14" t="s">
        <v>39</v>
      </c>
      <c r="AF245" s="15"/>
      <c r="AG245" s="1">
        <v>6161000200</v>
      </c>
      <c r="AH245" s="1" t="s">
        <v>45</v>
      </c>
      <c r="AI245" s="1" t="s">
        <v>44</v>
      </c>
      <c r="AL245" s="1" t="str">
        <f t="shared" si="4"/>
        <v>"Didactisch materiaal","","","60000000","","unspsc","M","","","","","K","","A010","","6010B","6161000200","False",""</v>
      </c>
    </row>
    <row r="246" spans="1:38" x14ac:dyDescent="0.25">
      <c r="A246" s="1">
        <v>100</v>
      </c>
      <c r="C246" s="1" t="s">
        <v>31</v>
      </c>
      <c r="F246" s="1">
        <v>3</v>
      </c>
      <c r="G246" s="1" t="s">
        <v>148</v>
      </c>
      <c r="H246" s="8">
        <v>6</v>
      </c>
      <c r="J246" s="1" t="s">
        <v>108</v>
      </c>
      <c r="K246" s="1" t="s">
        <v>187</v>
      </c>
      <c r="O246" s="11">
        <v>60000000</v>
      </c>
      <c r="Q246" s="1" t="s">
        <v>35</v>
      </c>
      <c r="R246" s="1" t="s">
        <v>36</v>
      </c>
      <c r="W246" s="1" t="s">
        <v>42</v>
      </c>
      <c r="Y246" s="1" t="s">
        <v>37</v>
      </c>
      <c r="AA246" s="12" t="s">
        <v>207</v>
      </c>
      <c r="AB246" s="1" t="s">
        <v>208</v>
      </c>
      <c r="AC246" s="12" t="s">
        <v>65</v>
      </c>
      <c r="AD246" s="13">
        <v>0.21</v>
      </c>
      <c r="AE246" s="14" t="s">
        <v>39</v>
      </c>
      <c r="AF246" s="15"/>
      <c r="AG246" s="1">
        <v>6030000200</v>
      </c>
      <c r="AH246" s="1" t="s">
        <v>109</v>
      </c>
      <c r="AI246" s="1" t="s">
        <v>44</v>
      </c>
      <c r="AL246" s="1" t="str">
        <f t="shared" si="4"/>
        <v>"Doorverkoop onderwijs (niet max fac)","","","60000000","","unspsc","M","","","","","K","","A010","","6010B","6030000200","False",""</v>
      </c>
    </row>
    <row r="247" spans="1:38" s="2" customFormat="1" x14ac:dyDescent="0.25">
      <c r="A247" s="1">
        <v>100</v>
      </c>
      <c r="C247" s="1" t="s">
        <v>62</v>
      </c>
      <c r="D247" s="1"/>
      <c r="E247" s="1"/>
      <c r="F247" s="2">
        <v>3</v>
      </c>
      <c r="G247" s="2" t="s">
        <v>148</v>
      </c>
      <c r="H247" s="8"/>
      <c r="I247" s="8"/>
      <c r="J247" s="2" t="s">
        <v>33</v>
      </c>
      <c r="K247" s="2" t="s">
        <v>187</v>
      </c>
      <c r="L247" s="1"/>
      <c r="M247" s="1"/>
      <c r="N247" s="1"/>
      <c r="O247" s="3">
        <v>60000000</v>
      </c>
      <c r="P247" s="1"/>
      <c r="Q247" s="1" t="s">
        <v>35</v>
      </c>
      <c r="R247" s="1" t="s">
        <v>36</v>
      </c>
      <c r="S247" s="1"/>
      <c r="T247" s="1"/>
      <c r="U247" s="1"/>
      <c r="V247" s="1"/>
      <c r="W247" s="1"/>
      <c r="X247" s="1"/>
      <c r="Y247" s="1" t="s">
        <v>37</v>
      </c>
      <c r="AA247" s="4" t="s">
        <v>209</v>
      </c>
      <c r="AB247" s="2" t="s">
        <v>210</v>
      </c>
      <c r="AC247" s="5" t="s">
        <v>65</v>
      </c>
      <c r="AD247" s="9">
        <v>0.21</v>
      </c>
      <c r="AE247" s="10" t="s">
        <v>39</v>
      </c>
      <c r="AF247" s="7"/>
      <c r="AI247" s="2" t="s">
        <v>40</v>
      </c>
      <c r="AL247" s="1" t="str">
        <f t="shared" si="4"/>
        <v>"Maak je keuze","","","60000000","","unspsc","M","","","","","","","A010","","6010A","","True",""</v>
      </c>
    </row>
    <row r="248" spans="1:38" x14ac:dyDescent="0.25">
      <c r="A248" s="1">
        <v>100</v>
      </c>
      <c r="C248" s="1" t="s">
        <v>62</v>
      </c>
      <c r="F248" s="1">
        <v>3</v>
      </c>
      <c r="G248" s="1" t="s">
        <v>148</v>
      </c>
      <c r="H248" s="8">
        <v>3</v>
      </c>
      <c r="J248" s="1" t="s">
        <v>45</v>
      </c>
      <c r="K248" s="1" t="s">
        <v>187</v>
      </c>
      <c r="O248" s="11">
        <v>60000000</v>
      </c>
      <c r="Q248" s="1" t="s">
        <v>35</v>
      </c>
      <c r="R248" s="1" t="s">
        <v>36</v>
      </c>
      <c r="W248" s="1" t="s">
        <v>42</v>
      </c>
      <c r="Y248" s="1" t="s">
        <v>37</v>
      </c>
      <c r="AA248" s="12" t="s">
        <v>209</v>
      </c>
      <c r="AB248" s="1" t="s">
        <v>210</v>
      </c>
      <c r="AC248" s="12" t="s">
        <v>65</v>
      </c>
      <c r="AD248" s="13">
        <v>0.21</v>
      </c>
      <c r="AE248" s="14" t="s">
        <v>39</v>
      </c>
      <c r="AF248" s="15"/>
      <c r="AG248" s="1">
        <v>6161000200</v>
      </c>
      <c r="AH248" s="1" t="s">
        <v>45</v>
      </c>
      <c r="AI248" s="1" t="s">
        <v>44</v>
      </c>
      <c r="AL248" s="1" t="str">
        <f t="shared" si="4"/>
        <v>"Didactisch materiaal","","","60000000","","unspsc","M","","","","","K","","A010","","6010A","6161000200","False",""</v>
      </c>
    </row>
    <row r="249" spans="1:38" x14ac:dyDescent="0.25">
      <c r="A249" s="1">
        <v>100</v>
      </c>
      <c r="C249" s="1" t="s">
        <v>62</v>
      </c>
      <c r="F249" s="1">
        <v>3</v>
      </c>
      <c r="G249" s="1" t="s">
        <v>148</v>
      </c>
      <c r="H249" s="8">
        <v>6</v>
      </c>
      <c r="J249" s="1" t="s">
        <v>108</v>
      </c>
      <c r="K249" s="1" t="s">
        <v>187</v>
      </c>
      <c r="O249" s="11">
        <v>60000000</v>
      </c>
      <c r="Q249" s="1" t="s">
        <v>35</v>
      </c>
      <c r="R249" s="1" t="s">
        <v>36</v>
      </c>
      <c r="W249" s="1" t="s">
        <v>42</v>
      </c>
      <c r="Y249" s="1" t="s">
        <v>37</v>
      </c>
      <c r="AA249" s="12" t="s">
        <v>209</v>
      </c>
      <c r="AB249" s="1" t="s">
        <v>210</v>
      </c>
      <c r="AC249" s="12" t="s">
        <v>65</v>
      </c>
      <c r="AD249" s="13">
        <v>0.21</v>
      </c>
      <c r="AE249" s="14" t="s">
        <v>39</v>
      </c>
      <c r="AF249" s="15"/>
      <c r="AG249" s="1">
        <v>6030000200</v>
      </c>
      <c r="AH249" s="1" t="s">
        <v>109</v>
      </c>
      <c r="AI249" s="1" t="s">
        <v>44</v>
      </c>
      <c r="AL249" s="1" t="str">
        <f t="shared" si="4"/>
        <v>"Doorverkoop onderwijs (niet max fac)","","","60000000","","unspsc","M","","","","","K","","A010","","6010A","6030000200","False",""</v>
      </c>
    </row>
    <row r="250" spans="1:38" s="2" customFormat="1" x14ac:dyDescent="0.25">
      <c r="A250" s="1">
        <v>100</v>
      </c>
      <c r="C250" s="1" t="s">
        <v>62</v>
      </c>
      <c r="D250" s="1"/>
      <c r="E250" s="1"/>
      <c r="F250" s="2">
        <v>3</v>
      </c>
      <c r="G250" s="2" t="s">
        <v>148</v>
      </c>
      <c r="H250" s="8"/>
      <c r="I250" s="8"/>
      <c r="J250" s="2" t="s">
        <v>33</v>
      </c>
      <c r="K250" s="2" t="s">
        <v>187</v>
      </c>
      <c r="L250" s="1"/>
      <c r="M250" s="1"/>
      <c r="N250" s="1"/>
      <c r="O250" s="3">
        <v>60000000</v>
      </c>
      <c r="P250" s="1"/>
      <c r="Q250" s="1" t="s">
        <v>35</v>
      </c>
      <c r="R250" s="1" t="s">
        <v>36</v>
      </c>
      <c r="S250" s="1"/>
      <c r="T250" s="1"/>
      <c r="U250" s="1"/>
      <c r="V250" s="1"/>
      <c r="W250" s="1"/>
      <c r="X250" s="1"/>
      <c r="Y250" s="1" t="s">
        <v>37</v>
      </c>
      <c r="AA250" s="4">
        <v>60106204</v>
      </c>
      <c r="AB250" s="2" t="s">
        <v>211</v>
      </c>
      <c r="AC250" s="5" t="s">
        <v>65</v>
      </c>
      <c r="AD250" s="9">
        <v>0.21</v>
      </c>
      <c r="AE250" s="10" t="s">
        <v>39</v>
      </c>
      <c r="AF250" s="7"/>
      <c r="AI250" s="2" t="s">
        <v>40</v>
      </c>
      <c r="AL250" s="1" t="str">
        <f t="shared" si="4"/>
        <v>"Maak je keuze","","","60000000","","unspsc","M","","","","","","","A010","","60106204","","True",""</v>
      </c>
    </row>
    <row r="251" spans="1:38" x14ac:dyDescent="0.25">
      <c r="A251" s="1">
        <v>100</v>
      </c>
      <c r="C251" s="1" t="s">
        <v>62</v>
      </c>
      <c r="F251" s="1">
        <v>3</v>
      </c>
      <c r="G251" s="1" t="s">
        <v>148</v>
      </c>
      <c r="H251" s="8">
        <v>3</v>
      </c>
      <c r="J251" s="1" t="s">
        <v>45</v>
      </c>
      <c r="K251" s="1" t="s">
        <v>187</v>
      </c>
      <c r="O251" s="11">
        <v>60000000</v>
      </c>
      <c r="Q251" s="1" t="s">
        <v>35</v>
      </c>
      <c r="R251" s="1" t="s">
        <v>36</v>
      </c>
      <c r="W251" s="1" t="s">
        <v>42</v>
      </c>
      <c r="Y251" s="1" t="s">
        <v>37</v>
      </c>
      <c r="AA251" s="12">
        <v>60106204</v>
      </c>
      <c r="AB251" s="1" t="s">
        <v>211</v>
      </c>
      <c r="AC251" s="12" t="s">
        <v>65</v>
      </c>
      <c r="AD251" s="13">
        <v>0.21</v>
      </c>
      <c r="AE251" s="14" t="s">
        <v>39</v>
      </c>
      <c r="AF251" s="15"/>
      <c r="AG251" s="1">
        <v>6161000200</v>
      </c>
      <c r="AH251" s="1" t="s">
        <v>45</v>
      </c>
      <c r="AI251" s="1" t="s">
        <v>44</v>
      </c>
      <c r="AL251" s="1" t="str">
        <f t="shared" si="4"/>
        <v>"Didactisch materiaal","","","60000000","","unspsc","M","","","","","K","","A010","","60106204","6161000200","False",""</v>
      </c>
    </row>
    <row r="252" spans="1:38" x14ac:dyDescent="0.25">
      <c r="A252" s="1">
        <v>100</v>
      </c>
      <c r="C252" s="1" t="s">
        <v>62</v>
      </c>
      <c r="F252" s="1">
        <v>3</v>
      </c>
      <c r="G252" s="1" t="s">
        <v>148</v>
      </c>
      <c r="H252" s="8">
        <v>6</v>
      </c>
      <c r="J252" s="1" t="s">
        <v>108</v>
      </c>
      <c r="K252" s="1" t="s">
        <v>187</v>
      </c>
      <c r="O252" s="11">
        <v>60000000</v>
      </c>
      <c r="Q252" s="1" t="s">
        <v>35</v>
      </c>
      <c r="R252" s="1" t="s">
        <v>36</v>
      </c>
      <c r="W252" s="1" t="s">
        <v>42</v>
      </c>
      <c r="Y252" s="1" t="s">
        <v>37</v>
      </c>
      <c r="AA252" s="12">
        <v>60106204</v>
      </c>
      <c r="AB252" s="1" t="s">
        <v>211</v>
      </c>
      <c r="AC252" s="12" t="s">
        <v>65</v>
      </c>
      <c r="AD252" s="13">
        <v>0.21</v>
      </c>
      <c r="AE252" s="14" t="s">
        <v>39</v>
      </c>
      <c r="AF252" s="15"/>
      <c r="AG252" s="1">
        <v>6030000200</v>
      </c>
      <c r="AH252" s="1" t="s">
        <v>109</v>
      </c>
      <c r="AI252" s="1" t="s">
        <v>44</v>
      </c>
      <c r="AL252" s="1" t="str">
        <f t="shared" si="4"/>
        <v>"Doorverkoop onderwijs (niet max fac)","","","60000000","","unspsc","M","","","","","K","","A010","","60106204","6030000200","False",""</v>
      </c>
    </row>
    <row r="253" spans="1:38" x14ac:dyDescent="0.25">
      <c r="A253" s="1">
        <v>100</v>
      </c>
      <c r="C253" s="1" t="s">
        <v>62</v>
      </c>
      <c r="F253" s="1">
        <v>3</v>
      </c>
      <c r="G253" s="1" t="s">
        <v>148</v>
      </c>
      <c r="H253" s="8">
        <v>7</v>
      </c>
      <c r="J253" s="1" t="s">
        <v>119</v>
      </c>
      <c r="K253" s="1" t="s">
        <v>187</v>
      </c>
      <c r="O253" s="11">
        <v>60000000</v>
      </c>
      <c r="Q253" s="1" t="s">
        <v>35</v>
      </c>
      <c r="R253" s="1" t="s">
        <v>36</v>
      </c>
      <c r="W253" s="1" t="s">
        <v>42</v>
      </c>
      <c r="Y253" s="1" t="s">
        <v>37</v>
      </c>
      <c r="AA253" s="12">
        <v>60106204</v>
      </c>
      <c r="AB253" s="1" t="s">
        <v>211</v>
      </c>
      <c r="AC253" s="12" t="s">
        <v>65</v>
      </c>
      <c r="AD253" s="13">
        <v>0.21</v>
      </c>
      <c r="AE253" s="14" t="s">
        <v>39</v>
      </c>
      <c r="AF253" s="15"/>
      <c r="AG253" s="1">
        <v>6030000100</v>
      </c>
      <c r="AH253" s="1" t="s">
        <v>120</v>
      </c>
      <c r="AI253" s="1" t="s">
        <v>44</v>
      </c>
      <c r="AL253" s="1" t="str">
        <f t="shared" si="4"/>
        <v>"Maximumfactuur","","","60000000","","unspsc","M","","","","","K","","A010","","60106204","6030000100","False",""</v>
      </c>
    </row>
    <row r="254" spans="1:38" s="2" customFormat="1" x14ac:dyDescent="0.25">
      <c r="A254" s="1">
        <v>100</v>
      </c>
      <c r="C254" s="1" t="s">
        <v>62</v>
      </c>
      <c r="D254" s="1"/>
      <c r="E254" s="1"/>
      <c r="F254" s="2">
        <v>3</v>
      </c>
      <c r="G254" s="2" t="s">
        <v>148</v>
      </c>
      <c r="H254" s="8"/>
      <c r="I254" s="8"/>
      <c r="J254" s="2" t="s">
        <v>33</v>
      </c>
      <c r="K254" s="2" t="s">
        <v>187</v>
      </c>
      <c r="L254" s="1"/>
      <c r="M254" s="1"/>
      <c r="N254" s="1"/>
      <c r="O254" s="3">
        <v>60000000</v>
      </c>
      <c r="P254" s="1"/>
      <c r="Q254" s="1" t="s">
        <v>35</v>
      </c>
      <c r="R254" s="1" t="s">
        <v>36</v>
      </c>
      <c r="S254" s="1"/>
      <c r="T254" s="1"/>
      <c r="U254" s="1"/>
      <c r="V254" s="1"/>
      <c r="W254" s="1"/>
      <c r="X254" s="1"/>
      <c r="Y254" s="1" t="s">
        <v>37</v>
      </c>
      <c r="AA254" s="4" t="s">
        <v>212</v>
      </c>
      <c r="AB254" s="2" t="s">
        <v>213</v>
      </c>
      <c r="AC254" s="5" t="s">
        <v>104</v>
      </c>
      <c r="AD254" s="9">
        <v>0.21</v>
      </c>
      <c r="AE254" s="10" t="s">
        <v>39</v>
      </c>
      <c r="AF254" s="7"/>
      <c r="AI254" s="2" t="s">
        <v>40</v>
      </c>
      <c r="AL254" s="1" t="str">
        <f t="shared" si="4"/>
        <v>"Maak je keuze","","","60000000","","unspsc","M","","","","","","","A010","","6010620X","","True",""</v>
      </c>
    </row>
    <row r="255" spans="1:38" x14ac:dyDescent="0.25">
      <c r="A255" s="1">
        <v>100</v>
      </c>
      <c r="C255" s="1" t="s">
        <v>62</v>
      </c>
      <c r="F255" s="1">
        <v>3</v>
      </c>
      <c r="G255" s="1" t="s">
        <v>148</v>
      </c>
      <c r="H255" s="8">
        <v>3</v>
      </c>
      <c r="J255" s="1" t="s">
        <v>45</v>
      </c>
      <c r="K255" s="1" t="s">
        <v>187</v>
      </c>
      <c r="O255" s="11">
        <v>60000000</v>
      </c>
      <c r="Q255" s="1" t="s">
        <v>35</v>
      </c>
      <c r="R255" s="1" t="s">
        <v>36</v>
      </c>
      <c r="W255" s="1" t="s">
        <v>42</v>
      </c>
      <c r="Y255" s="1" t="s">
        <v>37</v>
      </c>
      <c r="AA255" s="12" t="s">
        <v>212</v>
      </c>
      <c r="AB255" s="1" t="s">
        <v>213</v>
      </c>
      <c r="AC255" s="12" t="s">
        <v>104</v>
      </c>
      <c r="AD255" s="13">
        <v>0.21</v>
      </c>
      <c r="AE255" s="14" t="s">
        <v>39</v>
      </c>
      <c r="AF255" s="15"/>
      <c r="AG255" s="1">
        <v>6161000200</v>
      </c>
      <c r="AH255" s="1" t="s">
        <v>45</v>
      </c>
      <c r="AI255" s="1" t="s">
        <v>44</v>
      </c>
      <c r="AL255" s="1" t="str">
        <f t="shared" si="4"/>
        <v>"Didactisch materiaal","","","60000000","","unspsc","M","","","","","K","","A010","","6010620X","6161000200","False",""</v>
      </c>
    </row>
    <row r="256" spans="1:38" x14ac:dyDescent="0.25">
      <c r="A256" s="1">
        <v>100</v>
      </c>
      <c r="C256" s="1" t="s">
        <v>62</v>
      </c>
      <c r="F256" s="1">
        <v>3</v>
      </c>
      <c r="G256" s="1" t="s">
        <v>148</v>
      </c>
      <c r="H256" s="8">
        <v>6</v>
      </c>
      <c r="J256" s="1" t="s">
        <v>108</v>
      </c>
      <c r="K256" s="1" t="s">
        <v>187</v>
      </c>
      <c r="O256" s="11">
        <v>60000000</v>
      </c>
      <c r="Q256" s="1" t="s">
        <v>35</v>
      </c>
      <c r="R256" s="1" t="s">
        <v>36</v>
      </c>
      <c r="W256" s="1" t="s">
        <v>42</v>
      </c>
      <c r="Y256" s="1" t="s">
        <v>37</v>
      </c>
      <c r="AA256" s="12" t="s">
        <v>212</v>
      </c>
      <c r="AB256" s="1" t="s">
        <v>213</v>
      </c>
      <c r="AC256" s="12" t="s">
        <v>104</v>
      </c>
      <c r="AD256" s="13">
        <v>0.21</v>
      </c>
      <c r="AE256" s="14" t="s">
        <v>39</v>
      </c>
      <c r="AF256" s="15"/>
      <c r="AG256" s="1">
        <v>6030000200</v>
      </c>
      <c r="AH256" s="1" t="s">
        <v>109</v>
      </c>
      <c r="AI256" s="1" t="s">
        <v>44</v>
      </c>
      <c r="AL256" s="1" t="str">
        <f t="shared" si="4"/>
        <v>"Doorverkoop onderwijs (niet max fac)","","","60000000","","unspsc","M","","","","","K","","A010","","6010620X","6030000200","False",""</v>
      </c>
    </row>
    <row r="257" spans="1:38" x14ac:dyDescent="0.25">
      <c r="A257" s="1">
        <v>100</v>
      </c>
      <c r="C257" s="1" t="s">
        <v>62</v>
      </c>
      <c r="F257" s="1">
        <v>3</v>
      </c>
      <c r="G257" s="1" t="s">
        <v>148</v>
      </c>
      <c r="H257" s="8">
        <v>7</v>
      </c>
      <c r="J257" s="1" t="s">
        <v>119</v>
      </c>
      <c r="K257" s="1" t="s">
        <v>187</v>
      </c>
      <c r="O257" s="11">
        <v>60000000</v>
      </c>
      <c r="Q257" s="1" t="s">
        <v>35</v>
      </c>
      <c r="R257" s="1" t="s">
        <v>36</v>
      </c>
      <c r="W257" s="1" t="s">
        <v>42</v>
      </c>
      <c r="Y257" s="1" t="s">
        <v>37</v>
      </c>
      <c r="AA257" s="12" t="s">
        <v>212</v>
      </c>
      <c r="AB257" s="1" t="s">
        <v>213</v>
      </c>
      <c r="AC257" s="12" t="s">
        <v>104</v>
      </c>
      <c r="AD257" s="13">
        <v>0.21</v>
      </c>
      <c r="AE257" s="14" t="s">
        <v>39</v>
      </c>
      <c r="AF257" s="15"/>
      <c r="AG257" s="1">
        <v>6030000100</v>
      </c>
      <c r="AH257" s="1" t="s">
        <v>120</v>
      </c>
      <c r="AI257" s="1" t="s">
        <v>44</v>
      </c>
      <c r="AL257" s="1" t="str">
        <f t="shared" si="4"/>
        <v>"Maximumfactuur","","","60000000","","unspsc","M","","","","","K","","A010","","6010620X","6030000100","False",""</v>
      </c>
    </row>
    <row r="258" spans="1:38" s="61" customFormat="1" x14ac:dyDescent="0.25">
      <c r="A258" s="39">
        <v>100</v>
      </c>
      <c r="B258" s="41" t="s">
        <v>214</v>
      </c>
      <c r="C258" s="41" t="s">
        <v>31</v>
      </c>
      <c r="D258" s="41"/>
      <c r="E258" s="41" t="s">
        <v>81</v>
      </c>
      <c r="F258" s="41">
        <v>6</v>
      </c>
      <c r="G258" s="41" t="s">
        <v>82</v>
      </c>
      <c r="H258" s="42"/>
      <c r="I258" s="42" t="s">
        <v>215</v>
      </c>
      <c r="J258" s="41" t="s">
        <v>33</v>
      </c>
      <c r="K258" s="41" t="s">
        <v>83</v>
      </c>
      <c r="L258" s="41"/>
      <c r="M258" s="41"/>
      <c r="N258" s="41"/>
      <c r="O258" s="49">
        <v>72000000</v>
      </c>
      <c r="P258" s="41"/>
      <c r="Q258" s="41" t="s">
        <v>35</v>
      </c>
      <c r="R258" s="41" t="s">
        <v>36</v>
      </c>
      <c r="S258" s="41"/>
      <c r="T258" s="41"/>
      <c r="U258" s="41"/>
      <c r="V258" s="41"/>
      <c r="W258" s="41"/>
      <c r="X258" s="41"/>
      <c r="Y258" s="41" t="s">
        <v>37</v>
      </c>
      <c r="Z258" s="41"/>
      <c r="AA258" s="59" t="s">
        <v>216</v>
      </c>
      <c r="AB258" s="40" t="s">
        <v>217</v>
      </c>
      <c r="AC258" s="45" t="s">
        <v>138</v>
      </c>
      <c r="AD258" s="46">
        <v>0.06</v>
      </c>
      <c r="AE258" s="47" t="s">
        <v>53</v>
      </c>
      <c r="AF258" s="60"/>
      <c r="AG258" s="41"/>
      <c r="AH258" s="41"/>
      <c r="AI258" s="40" t="s">
        <v>40</v>
      </c>
      <c r="AJ258" s="41"/>
      <c r="AK258" s="41"/>
      <c r="AL258" s="39" t="str">
        <f t="shared" si="4"/>
        <v>"Maak je keuze","","","72000000","","unspsc","M","","","","","","","A010","","7210A","","True",""</v>
      </c>
    </row>
    <row r="259" spans="1:38" s="39" customFormat="1" x14ac:dyDescent="0.25">
      <c r="A259" s="39">
        <v>100</v>
      </c>
      <c r="B259" s="41" t="s">
        <v>214</v>
      </c>
      <c r="C259" s="41" t="s">
        <v>31</v>
      </c>
      <c r="D259" s="41"/>
      <c r="E259" s="41" t="s">
        <v>81</v>
      </c>
      <c r="F259" s="41">
        <v>6</v>
      </c>
      <c r="G259" s="41" t="s">
        <v>82</v>
      </c>
      <c r="H259" s="42">
        <v>17</v>
      </c>
      <c r="I259" s="42" t="s">
        <v>215</v>
      </c>
      <c r="J259" s="41" t="s">
        <v>41</v>
      </c>
      <c r="K259" s="41" t="s">
        <v>83</v>
      </c>
      <c r="L259" s="41"/>
      <c r="M259" s="41"/>
      <c r="N259" s="41"/>
      <c r="O259" s="49">
        <v>72000000</v>
      </c>
      <c r="P259" s="41"/>
      <c r="Q259" s="41" t="s">
        <v>35</v>
      </c>
      <c r="R259" s="41" t="s">
        <v>36</v>
      </c>
      <c r="S259" s="41"/>
      <c r="T259" s="41"/>
      <c r="U259" s="41"/>
      <c r="V259" s="41"/>
      <c r="W259" s="41" t="s">
        <v>42</v>
      </c>
      <c r="X259" s="41"/>
      <c r="Y259" s="41" t="s">
        <v>37</v>
      </c>
      <c r="Z259" s="41"/>
      <c r="AA259" s="50" t="s">
        <v>216</v>
      </c>
      <c r="AB259" s="41" t="s">
        <v>217</v>
      </c>
      <c r="AC259" s="50" t="s">
        <v>138</v>
      </c>
      <c r="AD259" s="51">
        <v>0.06</v>
      </c>
      <c r="AE259" s="52" t="s">
        <v>53</v>
      </c>
      <c r="AF259" s="60"/>
      <c r="AG259" s="41">
        <v>6103000900</v>
      </c>
      <c r="AH259" s="41" t="s">
        <v>131</v>
      </c>
      <c r="AI259" s="41" t="s">
        <v>44</v>
      </c>
      <c r="AJ259" s="41"/>
      <c r="AK259" s="41"/>
      <c r="AL259" s="39" t="str">
        <f t="shared" si="4"/>
        <v>"Operationele werking","","","72000000","","unspsc","M","","","","","K","","A010","","7210A","6103000900","False",""</v>
      </c>
    </row>
    <row r="260" spans="1:38" s="39" customFormat="1" x14ac:dyDescent="0.25">
      <c r="A260" s="39">
        <v>100</v>
      </c>
      <c r="B260" s="41" t="s">
        <v>214</v>
      </c>
      <c r="C260" s="41" t="s">
        <v>31</v>
      </c>
      <c r="D260" s="41"/>
      <c r="E260" s="41" t="s">
        <v>81</v>
      </c>
      <c r="F260" s="41">
        <v>6</v>
      </c>
      <c r="G260" s="41" t="s">
        <v>82</v>
      </c>
      <c r="H260" s="42">
        <v>9</v>
      </c>
      <c r="I260" s="42" t="s">
        <v>215</v>
      </c>
      <c r="J260" s="41" t="s">
        <v>59</v>
      </c>
      <c r="K260" s="41" t="s">
        <v>83</v>
      </c>
      <c r="L260" s="41"/>
      <c r="M260" s="41"/>
      <c r="N260" s="41"/>
      <c r="O260" s="49">
        <v>72000000</v>
      </c>
      <c r="P260" s="41"/>
      <c r="Q260" s="41" t="s">
        <v>35</v>
      </c>
      <c r="R260" s="41" t="s">
        <v>36</v>
      </c>
      <c r="S260" s="41"/>
      <c r="T260" s="41"/>
      <c r="U260" s="41"/>
      <c r="V260" s="41"/>
      <c r="W260" s="41" t="s">
        <v>60</v>
      </c>
      <c r="X260" s="41"/>
      <c r="Y260" s="41" t="s">
        <v>37</v>
      </c>
      <c r="Z260" s="41"/>
      <c r="AA260" s="50" t="s">
        <v>216</v>
      </c>
      <c r="AB260" s="41" t="s">
        <v>217</v>
      </c>
      <c r="AC260" s="50" t="s">
        <v>138</v>
      </c>
      <c r="AD260" s="51">
        <v>0.06</v>
      </c>
      <c r="AE260" s="52" t="s">
        <v>53</v>
      </c>
      <c r="AF260" s="60"/>
      <c r="AG260" s="39">
        <v>2231000000</v>
      </c>
      <c r="AH260" s="39" t="s">
        <v>61</v>
      </c>
      <c r="AI260" s="41" t="s">
        <v>44</v>
      </c>
      <c r="AJ260" s="41"/>
      <c r="AK260" s="41"/>
      <c r="AL260" s="39" t="str">
        <f t="shared" ref="AL260:AL323" si="5">""""&amp;J260&amp;""""&amp;","&amp;""""&amp;L260&amp;""""&amp;","&amp;""""&amp;M260&amp;""""&amp;","&amp;""""&amp;O260&amp;""""&amp;","&amp;""""&amp;P260&amp;""""&amp;","&amp;""""&amp;Q260&amp;""""&amp;","&amp;""""&amp;R260&amp;""""&amp;","&amp;""""&amp;S260&amp;""""&amp;","&amp;""""&amp;T260&amp;""""&amp;","&amp;""""&amp;U260&amp;""""&amp;","&amp;""""&amp;V260&amp;""""&amp;","&amp;""""&amp;W260&amp;""""&amp;","&amp;""""&amp;X260&amp;""""&amp;","&amp;""""&amp;Y260&amp;""""&amp;","&amp;""""&amp;Z260&amp;""""&amp;","&amp;""""&amp;AA260&amp;""""&amp;","&amp;""""&amp;AG260&amp;""""&amp;","&amp;""""&amp;AI260&amp;""""&amp;","&amp;""""&amp;AJ260&amp;""""&amp;""</f>
        <v>"Investering","","","72000000","","unspsc","M","","","","","A","","A010","","7210A","2231000000","False",""</v>
      </c>
    </row>
    <row r="261" spans="1:38" x14ac:dyDescent="0.25">
      <c r="A261" s="1">
        <v>100</v>
      </c>
      <c r="B261" s="2"/>
      <c r="C261" s="1" t="s">
        <v>31</v>
      </c>
      <c r="F261" s="2">
        <v>6</v>
      </c>
      <c r="G261" s="2" t="s">
        <v>82</v>
      </c>
      <c r="J261" s="2" t="s">
        <v>33</v>
      </c>
      <c r="K261" s="2" t="s">
        <v>83</v>
      </c>
      <c r="O261" s="3">
        <v>72000000</v>
      </c>
      <c r="Q261" s="1" t="s">
        <v>35</v>
      </c>
      <c r="R261" s="1" t="s">
        <v>36</v>
      </c>
      <c r="Y261" s="1" t="s">
        <v>37</v>
      </c>
      <c r="Z261" s="2"/>
      <c r="AA261" s="4">
        <v>721513</v>
      </c>
      <c r="AB261" s="2" t="s">
        <v>218</v>
      </c>
      <c r="AC261" s="5" t="s">
        <v>138</v>
      </c>
      <c r="AD261" s="9">
        <v>0.06</v>
      </c>
      <c r="AE261" s="10" t="s">
        <v>53</v>
      </c>
      <c r="AF261" s="7"/>
      <c r="AG261" s="2"/>
      <c r="AH261" s="2"/>
      <c r="AI261" s="2" t="s">
        <v>40</v>
      </c>
      <c r="AJ261" s="2"/>
      <c r="AK261" s="2"/>
      <c r="AL261" s="1" t="str">
        <f t="shared" si="5"/>
        <v>"Maak je keuze","","","72000000","","unspsc","M","","","","","","","A010","","721513","","True",""</v>
      </c>
    </row>
    <row r="262" spans="1:38" s="2" customFormat="1" x14ac:dyDescent="0.25">
      <c r="A262" s="1">
        <v>100</v>
      </c>
      <c r="B262" s="1"/>
      <c r="C262" s="1" t="s">
        <v>31</v>
      </c>
      <c r="D262" s="1"/>
      <c r="E262" s="1"/>
      <c r="F262" s="1">
        <v>6</v>
      </c>
      <c r="G262" s="1" t="s">
        <v>82</v>
      </c>
      <c r="H262" s="8">
        <v>17</v>
      </c>
      <c r="I262" s="8"/>
      <c r="J262" s="1" t="s">
        <v>41</v>
      </c>
      <c r="K262" s="1" t="s">
        <v>83</v>
      </c>
      <c r="L262" s="1"/>
      <c r="M262" s="1"/>
      <c r="N262" s="1"/>
      <c r="O262" s="11">
        <v>72000000</v>
      </c>
      <c r="P262" s="1"/>
      <c r="Q262" s="1" t="s">
        <v>35</v>
      </c>
      <c r="R262" s="1" t="s">
        <v>36</v>
      </c>
      <c r="S262" s="1"/>
      <c r="T262" s="1"/>
      <c r="U262" s="1"/>
      <c r="V262" s="1"/>
      <c r="W262" s="1" t="s">
        <v>42</v>
      </c>
      <c r="X262" s="1"/>
      <c r="Y262" s="1" t="s">
        <v>37</v>
      </c>
      <c r="Z262" s="1"/>
      <c r="AA262" s="12">
        <v>721513</v>
      </c>
      <c r="AB262" s="1" t="s">
        <v>218</v>
      </c>
      <c r="AC262" s="12" t="s">
        <v>138</v>
      </c>
      <c r="AD262" s="13">
        <v>0.06</v>
      </c>
      <c r="AE262" s="14" t="s">
        <v>53</v>
      </c>
      <c r="AF262" s="15"/>
      <c r="AG262" s="1">
        <v>6103000900</v>
      </c>
      <c r="AH262" s="1" t="s">
        <v>131</v>
      </c>
      <c r="AI262" s="1" t="s">
        <v>44</v>
      </c>
      <c r="AJ262" s="1"/>
      <c r="AK262" s="1"/>
      <c r="AL262" s="1" t="str">
        <f t="shared" si="5"/>
        <v>"Operationele werking","","","72000000","","unspsc","M","","","","","K","","A010","","721513","6103000900","False",""</v>
      </c>
    </row>
    <row r="263" spans="1:38" x14ac:dyDescent="0.25">
      <c r="A263" s="1">
        <v>100</v>
      </c>
      <c r="C263" s="1" t="s">
        <v>31</v>
      </c>
      <c r="F263" s="1">
        <v>6</v>
      </c>
      <c r="G263" s="1" t="s">
        <v>82</v>
      </c>
      <c r="H263" s="8">
        <v>9</v>
      </c>
      <c r="J263" s="1" t="s">
        <v>59</v>
      </c>
      <c r="K263" s="1" t="s">
        <v>83</v>
      </c>
      <c r="O263" s="11">
        <v>72000000</v>
      </c>
      <c r="Q263" s="1" t="s">
        <v>35</v>
      </c>
      <c r="R263" s="1" t="s">
        <v>36</v>
      </c>
      <c r="W263" s="1" t="s">
        <v>60</v>
      </c>
      <c r="Y263" s="1" t="s">
        <v>37</v>
      </c>
      <c r="AA263" s="12">
        <v>721513</v>
      </c>
      <c r="AB263" s="1" t="s">
        <v>218</v>
      </c>
      <c r="AC263" s="12" t="s">
        <v>138</v>
      </c>
      <c r="AD263" s="13">
        <v>0.06</v>
      </c>
      <c r="AE263" s="14" t="s">
        <v>53</v>
      </c>
      <c r="AF263" s="15"/>
      <c r="AG263" s="1">
        <v>2302000000</v>
      </c>
      <c r="AH263" s="1" t="s">
        <v>125</v>
      </c>
      <c r="AI263" s="1" t="s">
        <v>44</v>
      </c>
      <c r="AL263" s="1" t="str">
        <f t="shared" si="5"/>
        <v>"Investering","","","72000000","","unspsc","M","","","","","A","","A010","","721513","2302000000","False",""</v>
      </c>
    </row>
    <row r="264" spans="1:38" s="39" customFormat="1" x14ac:dyDescent="0.25">
      <c r="A264" s="39">
        <v>100</v>
      </c>
      <c r="B264" s="61"/>
      <c r="C264" s="39" t="s">
        <v>31</v>
      </c>
      <c r="F264" s="61">
        <v>6</v>
      </c>
      <c r="G264" s="61" t="s">
        <v>82</v>
      </c>
      <c r="H264" s="42"/>
      <c r="I264" s="42" t="s">
        <v>219</v>
      </c>
      <c r="J264" s="61" t="s">
        <v>33</v>
      </c>
      <c r="K264" s="61" t="s">
        <v>83</v>
      </c>
      <c r="O264" s="62">
        <v>72000000</v>
      </c>
      <c r="Q264" s="39" t="s">
        <v>35</v>
      </c>
      <c r="R264" s="39" t="s">
        <v>36</v>
      </c>
      <c r="Y264" s="39" t="s">
        <v>37</v>
      </c>
      <c r="Z264" s="61"/>
      <c r="AA264" s="63">
        <v>72151301</v>
      </c>
      <c r="AB264" s="61" t="s">
        <v>218</v>
      </c>
      <c r="AC264" s="64" t="s">
        <v>91</v>
      </c>
      <c r="AD264" s="65">
        <v>0.21</v>
      </c>
      <c r="AE264" s="66" t="s">
        <v>53</v>
      </c>
      <c r="AF264" s="67"/>
      <c r="AG264" s="61"/>
      <c r="AH264" s="61"/>
      <c r="AI264" s="61" t="s">
        <v>40</v>
      </c>
      <c r="AJ264" s="61"/>
      <c r="AK264" s="61"/>
      <c r="AL264" s="39" t="str">
        <f t="shared" si="5"/>
        <v>"Maak je keuze","","","72000000","","unspsc","M","","","","","","","A010","","72151301","","True",""</v>
      </c>
    </row>
    <row r="265" spans="1:38" s="61" customFormat="1" x14ac:dyDescent="0.25">
      <c r="A265" s="39">
        <v>100</v>
      </c>
      <c r="B265" s="39"/>
      <c r="C265" s="39" t="s">
        <v>31</v>
      </c>
      <c r="D265" s="39"/>
      <c r="E265" s="39"/>
      <c r="F265" s="39">
        <v>6</v>
      </c>
      <c r="G265" s="39" t="s">
        <v>82</v>
      </c>
      <c r="H265" s="42">
        <v>17</v>
      </c>
      <c r="I265" s="42" t="s">
        <v>219</v>
      </c>
      <c r="J265" s="39" t="s">
        <v>41</v>
      </c>
      <c r="K265" s="39" t="s">
        <v>83</v>
      </c>
      <c r="L265" s="39"/>
      <c r="M265" s="39"/>
      <c r="N265" s="39"/>
      <c r="O265" s="68">
        <v>72000000</v>
      </c>
      <c r="P265" s="39"/>
      <c r="Q265" s="39" t="s">
        <v>35</v>
      </c>
      <c r="R265" s="39" t="s">
        <v>36</v>
      </c>
      <c r="S265" s="39"/>
      <c r="T265" s="39"/>
      <c r="U265" s="39"/>
      <c r="V265" s="39"/>
      <c r="W265" s="39" t="s">
        <v>42</v>
      </c>
      <c r="X265" s="39"/>
      <c r="Y265" s="39" t="s">
        <v>37</v>
      </c>
      <c r="Z265" s="39"/>
      <c r="AA265" s="69">
        <v>72151301</v>
      </c>
      <c r="AB265" s="39" t="s">
        <v>218</v>
      </c>
      <c r="AC265" s="69" t="s">
        <v>91</v>
      </c>
      <c r="AD265" s="70">
        <v>0.21</v>
      </c>
      <c r="AE265" s="71" t="s">
        <v>53</v>
      </c>
      <c r="AF265" s="72"/>
      <c r="AG265" s="39">
        <v>6103000900</v>
      </c>
      <c r="AH265" s="39" t="s">
        <v>131</v>
      </c>
      <c r="AI265" s="39" t="s">
        <v>44</v>
      </c>
      <c r="AJ265" s="39"/>
      <c r="AK265" s="39"/>
      <c r="AL265" s="39" t="str">
        <f t="shared" si="5"/>
        <v>"Operationele werking","","","72000000","","unspsc","M","","","","","K","","A010","","72151301","6103000900","False",""</v>
      </c>
    </row>
    <row r="266" spans="1:38" s="39" customFormat="1" x14ac:dyDescent="0.25">
      <c r="A266" s="39">
        <v>100</v>
      </c>
      <c r="C266" s="39" t="s">
        <v>31</v>
      </c>
      <c r="F266" s="39">
        <v>6</v>
      </c>
      <c r="G266" s="39" t="s">
        <v>82</v>
      </c>
      <c r="H266" s="42">
        <v>9</v>
      </c>
      <c r="I266" s="42" t="s">
        <v>219</v>
      </c>
      <c r="J266" s="39" t="s">
        <v>59</v>
      </c>
      <c r="K266" s="39" t="s">
        <v>83</v>
      </c>
      <c r="O266" s="68">
        <v>72000000</v>
      </c>
      <c r="Q266" s="39" t="s">
        <v>35</v>
      </c>
      <c r="R266" s="39" t="s">
        <v>36</v>
      </c>
      <c r="W266" s="39" t="s">
        <v>60</v>
      </c>
      <c r="Y266" s="39" t="s">
        <v>37</v>
      </c>
      <c r="AA266" s="69">
        <v>72151301</v>
      </c>
      <c r="AB266" s="39" t="s">
        <v>218</v>
      </c>
      <c r="AC266" s="69" t="s">
        <v>91</v>
      </c>
      <c r="AD266" s="70">
        <v>0.21</v>
      </c>
      <c r="AE266" s="71" t="s">
        <v>53</v>
      </c>
      <c r="AF266" s="72"/>
      <c r="AG266" s="39">
        <v>2302000000</v>
      </c>
      <c r="AH266" s="39" t="s">
        <v>125</v>
      </c>
      <c r="AI266" s="39" t="s">
        <v>44</v>
      </c>
      <c r="AL266" s="39" t="str">
        <f t="shared" si="5"/>
        <v>"Investering","","","72000000","","unspsc","M","","","","","A","","A010","","72151301","2302000000","False",""</v>
      </c>
    </row>
    <row r="267" spans="1:38" s="61" customFormat="1" x14ac:dyDescent="0.25">
      <c r="A267" s="39">
        <v>100</v>
      </c>
      <c r="B267" s="41" t="s">
        <v>220</v>
      </c>
      <c r="C267" s="41" t="s">
        <v>31</v>
      </c>
      <c r="D267" s="41"/>
      <c r="E267" s="41" t="s">
        <v>86</v>
      </c>
      <c r="F267" s="41">
        <v>14</v>
      </c>
      <c r="G267" s="41" t="s">
        <v>73</v>
      </c>
      <c r="H267" s="42"/>
      <c r="I267" s="42" t="s">
        <v>221</v>
      </c>
      <c r="J267" s="41" t="s">
        <v>33</v>
      </c>
      <c r="K267" s="41"/>
      <c r="L267" s="41"/>
      <c r="M267" s="41"/>
      <c r="N267" s="41"/>
      <c r="O267" s="49">
        <v>72000000</v>
      </c>
      <c r="P267" s="41"/>
      <c r="Q267" s="41" t="s">
        <v>35</v>
      </c>
      <c r="R267" s="41" t="s">
        <v>36</v>
      </c>
      <c r="S267" s="41"/>
      <c r="T267" s="41"/>
      <c r="U267" s="41"/>
      <c r="V267" s="41"/>
      <c r="W267" s="41"/>
      <c r="X267" s="41"/>
      <c r="Y267" s="41" t="s">
        <v>37</v>
      </c>
      <c r="Z267" s="41"/>
      <c r="AA267" s="59">
        <v>721029</v>
      </c>
      <c r="AB267" s="40" t="s">
        <v>222</v>
      </c>
      <c r="AC267" s="45" t="s">
        <v>138</v>
      </c>
      <c r="AD267" s="46">
        <v>0.06</v>
      </c>
      <c r="AE267" s="47" t="s">
        <v>53</v>
      </c>
      <c r="AF267" s="60"/>
      <c r="AG267" s="41"/>
      <c r="AH267" s="41"/>
      <c r="AI267" s="40" t="s">
        <v>40</v>
      </c>
      <c r="AJ267" s="41"/>
      <c r="AK267" s="41"/>
      <c r="AL267" s="39" t="str">
        <f t="shared" si="5"/>
        <v>"Maak je keuze","","","72000000","","unspsc","M","","","","","","","A010","","721029","","True",""</v>
      </c>
    </row>
    <row r="268" spans="1:38" s="39" customFormat="1" x14ac:dyDescent="0.25">
      <c r="A268" s="39">
        <v>100</v>
      </c>
      <c r="B268" s="41" t="s">
        <v>220</v>
      </c>
      <c r="C268" s="41" t="s">
        <v>31</v>
      </c>
      <c r="D268" s="41"/>
      <c r="E268" s="41" t="s">
        <v>86</v>
      </c>
      <c r="F268" s="41">
        <v>14</v>
      </c>
      <c r="G268" s="41" t="s">
        <v>73</v>
      </c>
      <c r="H268" s="42">
        <v>17</v>
      </c>
      <c r="I268" s="42" t="s">
        <v>221</v>
      </c>
      <c r="J268" s="41" t="s">
        <v>41</v>
      </c>
      <c r="K268" s="41"/>
      <c r="L268" s="41"/>
      <c r="M268" s="41"/>
      <c r="N268" s="41"/>
      <c r="O268" s="49">
        <v>72000000</v>
      </c>
      <c r="P268" s="41"/>
      <c r="Q268" s="41" t="s">
        <v>35</v>
      </c>
      <c r="R268" s="41" t="s">
        <v>36</v>
      </c>
      <c r="S268" s="41"/>
      <c r="T268" s="41"/>
      <c r="U268" s="41"/>
      <c r="V268" s="41"/>
      <c r="W268" s="41" t="s">
        <v>42</v>
      </c>
      <c r="X268" s="41"/>
      <c r="Y268" s="41" t="s">
        <v>37</v>
      </c>
      <c r="Z268" s="41"/>
      <c r="AA268" s="50">
        <v>721029</v>
      </c>
      <c r="AB268" s="41" t="s">
        <v>222</v>
      </c>
      <c r="AC268" s="50" t="s">
        <v>138</v>
      </c>
      <c r="AD268" s="51">
        <v>0.06</v>
      </c>
      <c r="AE268" s="52" t="s">
        <v>53</v>
      </c>
      <c r="AF268" s="60"/>
      <c r="AG268" s="41">
        <v>6103000700</v>
      </c>
      <c r="AH268" s="41" t="s">
        <v>223</v>
      </c>
      <c r="AI268" s="41" t="s">
        <v>44</v>
      </c>
      <c r="AJ268" s="41"/>
      <c r="AK268" s="41"/>
      <c r="AL268" s="39" t="str">
        <f t="shared" si="5"/>
        <v>"Operationele werking","","","72000000","","unspsc","M","","","","","K","","A010","","721029","6103000700","False",""</v>
      </c>
    </row>
    <row r="269" spans="1:38" s="39" customFormat="1" x14ac:dyDescent="0.25">
      <c r="A269" s="39">
        <v>100</v>
      </c>
      <c r="B269" s="41" t="s">
        <v>220</v>
      </c>
      <c r="C269" s="41" t="s">
        <v>31</v>
      </c>
      <c r="D269" s="41"/>
      <c r="E269" s="41" t="s">
        <v>86</v>
      </c>
      <c r="F269" s="41">
        <v>14</v>
      </c>
      <c r="G269" s="41" t="s">
        <v>73</v>
      </c>
      <c r="H269" s="42">
        <v>9</v>
      </c>
      <c r="I269" s="42" t="s">
        <v>221</v>
      </c>
      <c r="J269" s="41" t="s">
        <v>59</v>
      </c>
      <c r="K269" s="41"/>
      <c r="L269" s="41"/>
      <c r="M269" s="41"/>
      <c r="N269" s="41"/>
      <c r="O269" s="49">
        <v>72000000</v>
      </c>
      <c r="P269" s="41"/>
      <c r="Q269" s="41" t="s">
        <v>35</v>
      </c>
      <c r="R269" s="41" t="s">
        <v>36</v>
      </c>
      <c r="S269" s="41"/>
      <c r="T269" s="41"/>
      <c r="U269" s="41"/>
      <c r="V269" s="41"/>
      <c r="W269" s="41" t="s">
        <v>60</v>
      </c>
      <c r="X269" s="41"/>
      <c r="Y269" s="41" t="s">
        <v>37</v>
      </c>
      <c r="Z269" s="41"/>
      <c r="AA269" s="50">
        <v>721029</v>
      </c>
      <c r="AB269" s="41" t="s">
        <v>222</v>
      </c>
      <c r="AC269" s="50" t="s">
        <v>138</v>
      </c>
      <c r="AD269" s="51">
        <v>0.06</v>
      </c>
      <c r="AE269" s="52" t="s">
        <v>53</v>
      </c>
      <c r="AF269" s="60"/>
      <c r="AG269" s="41">
        <v>2231000000</v>
      </c>
      <c r="AH269" s="41" t="s">
        <v>61</v>
      </c>
      <c r="AI269" s="41" t="s">
        <v>44</v>
      </c>
      <c r="AJ269" s="41"/>
      <c r="AK269" s="41"/>
      <c r="AL269" s="39" t="str">
        <f t="shared" si="5"/>
        <v>"Investering","","","72000000","","unspsc","M","","","","","A","","A010","","721029","2231000000","False",""</v>
      </c>
    </row>
    <row r="270" spans="1:38" s="2" customFormat="1" x14ac:dyDescent="0.25">
      <c r="A270" s="1">
        <v>100</v>
      </c>
      <c r="B270" s="21" t="s">
        <v>220</v>
      </c>
      <c r="C270" s="21" t="s">
        <v>31</v>
      </c>
      <c r="D270" s="21"/>
      <c r="E270" s="21" t="s">
        <v>86</v>
      </c>
      <c r="F270" s="21">
        <v>14</v>
      </c>
      <c r="G270" s="21" t="s">
        <v>73</v>
      </c>
      <c r="H270" s="8"/>
      <c r="I270" s="22"/>
      <c r="J270" s="21" t="s">
        <v>33</v>
      </c>
      <c r="K270" s="21"/>
      <c r="L270" s="21"/>
      <c r="M270" s="21"/>
      <c r="N270" s="21"/>
      <c r="O270" s="23">
        <v>72000000</v>
      </c>
      <c r="P270" s="21"/>
      <c r="Q270" s="21" t="s">
        <v>35</v>
      </c>
      <c r="R270" s="21" t="s">
        <v>36</v>
      </c>
      <c r="S270" s="21"/>
      <c r="T270" s="21"/>
      <c r="U270" s="21"/>
      <c r="V270" s="21"/>
      <c r="W270" s="21"/>
      <c r="X270" s="21"/>
      <c r="Y270" s="21" t="s">
        <v>37</v>
      </c>
      <c r="Z270" s="21"/>
      <c r="AA270" s="73">
        <v>72102902</v>
      </c>
      <c r="AB270" s="30" t="s">
        <v>222</v>
      </c>
      <c r="AC270" s="56" t="s">
        <v>91</v>
      </c>
      <c r="AD270" s="57">
        <v>0.21</v>
      </c>
      <c r="AE270" s="33" t="s">
        <v>53</v>
      </c>
      <c r="AF270" s="28"/>
      <c r="AG270" s="21"/>
      <c r="AH270" s="21"/>
      <c r="AI270" s="30" t="s">
        <v>40</v>
      </c>
      <c r="AJ270" s="21"/>
      <c r="AK270" s="21"/>
      <c r="AL270" s="1" t="str">
        <f t="shared" si="5"/>
        <v>"Maak je keuze","","","72000000","","unspsc","M","","","","","","","A010","","72102902","","True",""</v>
      </c>
    </row>
    <row r="271" spans="1:38" x14ac:dyDescent="0.25">
      <c r="A271" s="1">
        <v>100</v>
      </c>
      <c r="B271" s="21" t="s">
        <v>220</v>
      </c>
      <c r="C271" s="21" t="s">
        <v>31</v>
      </c>
      <c r="D271" s="21"/>
      <c r="E271" s="21" t="s">
        <v>86</v>
      </c>
      <c r="F271" s="21">
        <v>14</v>
      </c>
      <c r="G271" s="21" t="s">
        <v>73</v>
      </c>
      <c r="H271" s="8">
        <v>17</v>
      </c>
      <c r="I271" s="22"/>
      <c r="J271" s="21" t="s">
        <v>41</v>
      </c>
      <c r="K271" s="21"/>
      <c r="L271" s="21"/>
      <c r="M271" s="21"/>
      <c r="N271" s="21"/>
      <c r="O271" s="23">
        <v>72000000</v>
      </c>
      <c r="P271" s="21"/>
      <c r="Q271" s="21" t="s">
        <v>35</v>
      </c>
      <c r="R271" s="21" t="s">
        <v>36</v>
      </c>
      <c r="S271" s="21"/>
      <c r="T271" s="21"/>
      <c r="U271" s="21"/>
      <c r="V271" s="21"/>
      <c r="W271" s="21" t="s">
        <v>42</v>
      </c>
      <c r="X271" s="21"/>
      <c r="Y271" s="21" t="s">
        <v>37</v>
      </c>
      <c r="Z271" s="21"/>
      <c r="AA271" s="34">
        <v>72102902</v>
      </c>
      <c r="AB271" s="21" t="s">
        <v>222</v>
      </c>
      <c r="AC271" s="25" t="s">
        <v>91</v>
      </c>
      <c r="AD271" s="26">
        <v>0.21</v>
      </c>
      <c r="AE271" s="27" t="s">
        <v>53</v>
      </c>
      <c r="AF271" s="28"/>
      <c r="AG271" s="21">
        <v>6103000700</v>
      </c>
      <c r="AH271" s="21" t="s">
        <v>223</v>
      </c>
      <c r="AI271" s="21" t="s">
        <v>44</v>
      </c>
      <c r="AJ271" s="21"/>
      <c r="AK271" s="21"/>
      <c r="AL271" s="1" t="str">
        <f t="shared" si="5"/>
        <v>"Operationele werking","","","72000000","","unspsc","M","","","","","K","","A010","","72102902","6103000700","False",""</v>
      </c>
    </row>
    <row r="272" spans="1:38" x14ac:dyDescent="0.25">
      <c r="A272" s="1">
        <v>100</v>
      </c>
      <c r="B272" s="21" t="s">
        <v>220</v>
      </c>
      <c r="C272" s="21" t="s">
        <v>31</v>
      </c>
      <c r="D272" s="21"/>
      <c r="E272" s="21" t="s">
        <v>86</v>
      </c>
      <c r="F272" s="21">
        <v>14</v>
      </c>
      <c r="G272" s="21" t="s">
        <v>73</v>
      </c>
      <c r="H272" s="8">
        <v>9</v>
      </c>
      <c r="I272" s="22"/>
      <c r="J272" s="21" t="s">
        <v>59</v>
      </c>
      <c r="K272" s="21"/>
      <c r="L272" s="21"/>
      <c r="M272" s="21"/>
      <c r="N272" s="21"/>
      <c r="O272" s="23">
        <v>72000000</v>
      </c>
      <c r="P272" s="21"/>
      <c r="Q272" s="21" t="s">
        <v>35</v>
      </c>
      <c r="R272" s="21" t="s">
        <v>36</v>
      </c>
      <c r="S272" s="21"/>
      <c r="T272" s="21"/>
      <c r="U272" s="21"/>
      <c r="V272" s="21"/>
      <c r="W272" s="24" t="s">
        <v>60</v>
      </c>
      <c r="X272" s="21"/>
      <c r="Y272" s="21" t="s">
        <v>37</v>
      </c>
      <c r="Z272" s="21"/>
      <c r="AA272" s="34">
        <v>72102902</v>
      </c>
      <c r="AB272" s="21" t="s">
        <v>222</v>
      </c>
      <c r="AC272" s="25" t="s">
        <v>91</v>
      </c>
      <c r="AD272" s="26">
        <v>0.21</v>
      </c>
      <c r="AE272" s="27" t="s">
        <v>53</v>
      </c>
      <c r="AF272" s="28"/>
      <c r="AG272" s="24">
        <v>2231000000</v>
      </c>
      <c r="AH272" s="24" t="s">
        <v>61</v>
      </c>
      <c r="AI272" s="21" t="s">
        <v>44</v>
      </c>
      <c r="AJ272" s="21"/>
      <c r="AK272" s="21"/>
      <c r="AL272" s="1" t="str">
        <f t="shared" si="5"/>
        <v>"Investering","","","72000000","","unspsc","M","","","","","A","","A010","","72102902","2231000000","False",""</v>
      </c>
    </row>
    <row r="273" spans="1:38" s="39" customFormat="1" x14ac:dyDescent="0.25">
      <c r="A273" s="39">
        <v>100</v>
      </c>
      <c r="B273" s="61" t="s">
        <v>224</v>
      </c>
      <c r="C273" s="39" t="s">
        <v>31</v>
      </c>
      <c r="F273" s="61">
        <v>14</v>
      </c>
      <c r="G273" s="61" t="s">
        <v>73</v>
      </c>
      <c r="H273" s="42"/>
      <c r="I273" s="42" t="s">
        <v>215</v>
      </c>
      <c r="J273" s="61" t="s">
        <v>33</v>
      </c>
      <c r="K273" s="61"/>
      <c r="O273" s="62">
        <v>72000000</v>
      </c>
      <c r="Q273" s="39" t="s">
        <v>35</v>
      </c>
      <c r="R273" s="39" t="s">
        <v>36</v>
      </c>
      <c r="Y273" s="39" t="s">
        <v>37</v>
      </c>
      <c r="Z273" s="61"/>
      <c r="AA273" s="63" t="s">
        <v>225</v>
      </c>
      <c r="AB273" s="61" t="s">
        <v>217</v>
      </c>
      <c r="AC273" s="64" t="s">
        <v>91</v>
      </c>
      <c r="AD273" s="65">
        <v>0.21</v>
      </c>
      <c r="AE273" s="66" t="s">
        <v>53</v>
      </c>
      <c r="AF273" s="67"/>
      <c r="AG273" s="61"/>
      <c r="AH273" s="61"/>
      <c r="AI273" s="61" t="s">
        <v>40</v>
      </c>
      <c r="AJ273" s="61"/>
      <c r="AK273" s="61"/>
      <c r="AL273" s="39" t="str">
        <f t="shared" si="5"/>
        <v>"Maak je keuze","","","72000000","","unspsc","M","","","","","","","A010","","7210B","","True",""</v>
      </c>
    </row>
    <row r="274" spans="1:38" s="61" customFormat="1" x14ac:dyDescent="0.25">
      <c r="A274" s="39">
        <v>100</v>
      </c>
      <c r="B274" s="39" t="s">
        <v>224</v>
      </c>
      <c r="C274" s="39" t="s">
        <v>31</v>
      </c>
      <c r="D274" s="39"/>
      <c r="E274" s="39"/>
      <c r="F274" s="39">
        <v>14</v>
      </c>
      <c r="G274" s="39" t="s">
        <v>73</v>
      </c>
      <c r="H274" s="42">
        <v>17</v>
      </c>
      <c r="I274" s="42" t="s">
        <v>215</v>
      </c>
      <c r="J274" s="39" t="s">
        <v>41</v>
      </c>
      <c r="K274" s="39"/>
      <c r="L274" s="39"/>
      <c r="M274" s="39"/>
      <c r="N274" s="39"/>
      <c r="O274" s="68">
        <v>72000000</v>
      </c>
      <c r="P274" s="39"/>
      <c r="Q274" s="39" t="s">
        <v>35</v>
      </c>
      <c r="R274" s="39" t="s">
        <v>36</v>
      </c>
      <c r="S274" s="39"/>
      <c r="T274" s="39"/>
      <c r="U274" s="39"/>
      <c r="V274" s="39"/>
      <c r="W274" s="39" t="s">
        <v>42</v>
      </c>
      <c r="X274" s="39"/>
      <c r="Y274" s="39" t="s">
        <v>37</v>
      </c>
      <c r="Z274" s="39"/>
      <c r="AA274" s="69" t="s">
        <v>225</v>
      </c>
      <c r="AB274" s="39" t="s">
        <v>217</v>
      </c>
      <c r="AC274" s="69" t="s">
        <v>91</v>
      </c>
      <c r="AD274" s="70">
        <v>0.21</v>
      </c>
      <c r="AE274" s="71" t="s">
        <v>53</v>
      </c>
      <c r="AF274" s="72"/>
      <c r="AG274" s="39">
        <v>6103000900</v>
      </c>
      <c r="AH274" s="39" t="s">
        <v>131</v>
      </c>
      <c r="AI274" s="39" t="s">
        <v>44</v>
      </c>
      <c r="AJ274" s="39"/>
      <c r="AK274" s="39"/>
      <c r="AL274" s="39" t="str">
        <f t="shared" si="5"/>
        <v>"Operationele werking","","","72000000","","unspsc","M","","","","","K","","A010","","7210B","6103000900","False",""</v>
      </c>
    </row>
    <row r="275" spans="1:38" s="39" customFormat="1" x14ac:dyDescent="0.25">
      <c r="A275" s="39">
        <v>100</v>
      </c>
      <c r="B275" s="39" t="s">
        <v>224</v>
      </c>
      <c r="C275" s="39" t="s">
        <v>31</v>
      </c>
      <c r="F275" s="39">
        <v>14</v>
      </c>
      <c r="G275" s="39" t="s">
        <v>73</v>
      </c>
      <c r="H275" s="42">
        <v>9</v>
      </c>
      <c r="I275" s="42" t="s">
        <v>215</v>
      </c>
      <c r="J275" s="39" t="s">
        <v>59</v>
      </c>
      <c r="O275" s="68">
        <v>72000000</v>
      </c>
      <c r="Q275" s="39" t="s">
        <v>35</v>
      </c>
      <c r="R275" s="39" t="s">
        <v>36</v>
      </c>
      <c r="W275" s="39" t="s">
        <v>60</v>
      </c>
      <c r="Y275" s="39" t="s">
        <v>37</v>
      </c>
      <c r="AA275" s="69" t="s">
        <v>225</v>
      </c>
      <c r="AB275" s="39" t="s">
        <v>217</v>
      </c>
      <c r="AC275" s="69" t="s">
        <v>91</v>
      </c>
      <c r="AD275" s="70">
        <v>0.21</v>
      </c>
      <c r="AE275" s="71" t="s">
        <v>53</v>
      </c>
      <c r="AF275" s="72"/>
      <c r="AG275" s="39">
        <v>2231000000</v>
      </c>
      <c r="AH275" s="39" t="s">
        <v>61</v>
      </c>
      <c r="AI275" s="39" t="s">
        <v>44</v>
      </c>
      <c r="AL275" s="39" t="str">
        <f t="shared" si="5"/>
        <v>"Investering","","","72000000","","unspsc","M","","","","","A","","A010","","7210B","2231000000","False",""</v>
      </c>
    </row>
    <row r="276" spans="1:38" x14ac:dyDescent="0.25">
      <c r="A276" s="1">
        <v>100</v>
      </c>
      <c r="B276" s="2" t="s">
        <v>226</v>
      </c>
      <c r="C276" s="1" t="s">
        <v>31</v>
      </c>
      <c r="F276" s="2">
        <v>14</v>
      </c>
      <c r="G276" s="2" t="s">
        <v>73</v>
      </c>
      <c r="J276" s="2" t="s">
        <v>33</v>
      </c>
      <c r="K276" s="2"/>
      <c r="O276" s="3">
        <v>72000000</v>
      </c>
      <c r="Q276" s="1" t="s">
        <v>35</v>
      </c>
      <c r="R276" s="1" t="s">
        <v>36</v>
      </c>
      <c r="Y276" s="1" t="s">
        <v>37</v>
      </c>
      <c r="Z276" s="2"/>
      <c r="AA276" s="4" t="s">
        <v>227</v>
      </c>
      <c r="AB276" s="2" t="s">
        <v>228</v>
      </c>
      <c r="AC276" s="5" t="s">
        <v>38</v>
      </c>
      <c r="AD276" s="9">
        <v>0.06</v>
      </c>
      <c r="AE276" s="10" t="s">
        <v>39</v>
      </c>
      <c r="AF276" s="7"/>
      <c r="AG276" s="2"/>
      <c r="AH276" s="2"/>
      <c r="AI276" s="2" t="s">
        <v>40</v>
      </c>
      <c r="AJ276" s="2"/>
      <c r="AK276" s="2"/>
      <c r="AL276" s="1" t="str">
        <f t="shared" si="5"/>
        <v>"Maak je keuze","","","72000000","","unspsc","M","","","","","","","A010","","721512A","","True",""</v>
      </c>
    </row>
    <row r="277" spans="1:38" s="2" customFormat="1" x14ac:dyDescent="0.25">
      <c r="A277" s="1">
        <v>100</v>
      </c>
      <c r="B277" s="1" t="s">
        <v>226</v>
      </c>
      <c r="C277" s="1" t="s">
        <v>31</v>
      </c>
      <c r="D277" s="1"/>
      <c r="E277" s="1"/>
      <c r="F277" s="1">
        <v>14</v>
      </c>
      <c r="G277" s="1" t="s">
        <v>73</v>
      </c>
      <c r="H277" s="8">
        <v>17</v>
      </c>
      <c r="I277" s="8"/>
      <c r="J277" s="1" t="s">
        <v>41</v>
      </c>
      <c r="K277" s="1"/>
      <c r="L277" s="1"/>
      <c r="M277" s="1"/>
      <c r="N277" s="1"/>
      <c r="O277" s="11">
        <v>72000000</v>
      </c>
      <c r="P277" s="1"/>
      <c r="Q277" s="1" t="s">
        <v>35</v>
      </c>
      <c r="R277" s="1" t="s">
        <v>36</v>
      </c>
      <c r="S277" s="1"/>
      <c r="T277" s="1"/>
      <c r="U277" s="1"/>
      <c r="V277" s="1"/>
      <c r="W277" s="1" t="s">
        <v>42</v>
      </c>
      <c r="X277" s="1"/>
      <c r="Y277" s="1" t="s">
        <v>37</v>
      </c>
      <c r="Z277" s="1"/>
      <c r="AA277" s="12" t="s">
        <v>227</v>
      </c>
      <c r="AB277" s="1" t="s">
        <v>228</v>
      </c>
      <c r="AC277" s="12" t="s">
        <v>38</v>
      </c>
      <c r="AD277" s="13">
        <v>0.06</v>
      </c>
      <c r="AE277" s="14" t="s">
        <v>39</v>
      </c>
      <c r="AF277" s="15"/>
      <c r="AG277" s="1">
        <v>6141100100</v>
      </c>
      <c r="AH277" s="1" t="s">
        <v>66</v>
      </c>
      <c r="AI277" s="1" t="s">
        <v>44</v>
      </c>
      <c r="AJ277" s="1"/>
      <c r="AK277" s="1"/>
      <c r="AL277" s="1" t="str">
        <f t="shared" si="5"/>
        <v>"Operationele werking","","","72000000","","unspsc","M","","","","","K","","A010","","721512A","6141100100","False",""</v>
      </c>
    </row>
    <row r="278" spans="1:38" x14ac:dyDescent="0.25">
      <c r="A278" s="1">
        <v>100</v>
      </c>
      <c r="B278" s="1" t="s">
        <v>226</v>
      </c>
      <c r="C278" s="1" t="s">
        <v>31</v>
      </c>
      <c r="F278" s="1">
        <v>14</v>
      </c>
      <c r="G278" s="1" t="s">
        <v>73</v>
      </c>
      <c r="H278" s="8">
        <v>9</v>
      </c>
      <c r="J278" s="1" t="s">
        <v>59</v>
      </c>
      <c r="O278" s="11">
        <v>72000000</v>
      </c>
      <c r="Q278" s="1" t="s">
        <v>35</v>
      </c>
      <c r="R278" s="1" t="s">
        <v>36</v>
      </c>
      <c r="W278" s="1" t="s">
        <v>60</v>
      </c>
      <c r="Y278" s="1" t="s">
        <v>37</v>
      </c>
      <c r="AA278" s="12" t="s">
        <v>227</v>
      </c>
      <c r="AB278" s="1" t="s">
        <v>228</v>
      </c>
      <c r="AC278" s="12" t="s">
        <v>38</v>
      </c>
      <c r="AD278" s="13">
        <v>0.06</v>
      </c>
      <c r="AE278" s="14" t="s">
        <v>39</v>
      </c>
      <c r="AF278" s="15"/>
      <c r="AG278" s="1">
        <v>2301000000</v>
      </c>
      <c r="AH278" s="1" t="s">
        <v>76</v>
      </c>
      <c r="AI278" s="1" t="s">
        <v>44</v>
      </c>
      <c r="AL278" s="1" t="str">
        <f t="shared" si="5"/>
        <v>"Investering","","","72000000","","unspsc","M","","","","","A","","A010","","721512A","2301000000","False",""</v>
      </c>
    </row>
    <row r="279" spans="1:38" x14ac:dyDescent="0.25">
      <c r="A279" s="1">
        <v>100</v>
      </c>
      <c r="B279" s="2" t="s">
        <v>226</v>
      </c>
      <c r="C279" s="1" t="s">
        <v>31</v>
      </c>
      <c r="D279" s="1" t="s">
        <v>67</v>
      </c>
      <c r="F279" s="2">
        <v>14</v>
      </c>
      <c r="G279" s="2" t="s">
        <v>73</v>
      </c>
      <c r="J279" s="2" t="s">
        <v>33</v>
      </c>
      <c r="K279" s="2"/>
      <c r="O279" s="3">
        <v>72000000</v>
      </c>
      <c r="Q279" s="1" t="s">
        <v>35</v>
      </c>
      <c r="R279" s="1" t="s">
        <v>36</v>
      </c>
      <c r="Y279" s="1" t="s">
        <v>37</v>
      </c>
      <c r="Z279" s="2"/>
      <c r="AA279" s="4" t="s">
        <v>229</v>
      </c>
      <c r="AB279" s="2" t="s">
        <v>230</v>
      </c>
      <c r="AC279" s="5" t="s">
        <v>65</v>
      </c>
      <c r="AD279" s="9">
        <v>0.21</v>
      </c>
      <c r="AE279" s="10" t="s">
        <v>39</v>
      </c>
      <c r="AF279" s="7"/>
      <c r="AG279" s="2"/>
      <c r="AH279" s="2"/>
      <c r="AI279" s="2" t="s">
        <v>40</v>
      </c>
      <c r="AJ279" s="2"/>
      <c r="AK279" s="2"/>
      <c r="AL279" s="1" t="str">
        <f t="shared" si="5"/>
        <v>"Maak je keuze","","","72000000","","unspsc","M","","","","","","","A010","","721512B","","True",""</v>
      </c>
    </row>
    <row r="280" spans="1:38" s="2" customFormat="1" x14ac:dyDescent="0.25">
      <c r="A280" s="1">
        <v>100</v>
      </c>
      <c r="B280" s="1" t="s">
        <v>226</v>
      </c>
      <c r="C280" s="1" t="s">
        <v>31</v>
      </c>
      <c r="D280" s="1" t="s">
        <v>67</v>
      </c>
      <c r="E280" s="1"/>
      <c r="F280" s="1">
        <v>14</v>
      </c>
      <c r="G280" s="1" t="s">
        <v>73</v>
      </c>
      <c r="H280" s="8">
        <v>17</v>
      </c>
      <c r="I280" s="8"/>
      <c r="J280" s="1" t="s">
        <v>41</v>
      </c>
      <c r="K280" s="1"/>
      <c r="L280" s="1"/>
      <c r="M280" s="1"/>
      <c r="N280" s="1"/>
      <c r="O280" s="11">
        <v>72000000</v>
      </c>
      <c r="P280" s="1"/>
      <c r="Q280" s="1" t="s">
        <v>35</v>
      </c>
      <c r="R280" s="1" t="s">
        <v>36</v>
      </c>
      <c r="S280" s="1"/>
      <c r="T280" s="1"/>
      <c r="U280" s="1"/>
      <c r="V280" s="1"/>
      <c r="W280" s="1" t="s">
        <v>42</v>
      </c>
      <c r="X280" s="1"/>
      <c r="Y280" s="1" t="s">
        <v>37</v>
      </c>
      <c r="Z280" s="1"/>
      <c r="AA280" s="12" t="s">
        <v>229</v>
      </c>
      <c r="AB280" s="1" t="s">
        <v>230</v>
      </c>
      <c r="AC280" s="12" t="s">
        <v>65</v>
      </c>
      <c r="AD280" s="13">
        <v>0.21</v>
      </c>
      <c r="AE280" s="14" t="s">
        <v>39</v>
      </c>
      <c r="AF280" s="15"/>
      <c r="AG280" s="1">
        <v>6141100100</v>
      </c>
      <c r="AH280" s="1" t="s">
        <v>66</v>
      </c>
      <c r="AI280" s="1" t="s">
        <v>44</v>
      </c>
      <c r="AJ280" s="1"/>
      <c r="AK280" s="1"/>
      <c r="AL280" s="1" t="str">
        <f t="shared" si="5"/>
        <v>"Operationele werking","","","72000000","","unspsc","M","","","","","K","","A010","","721512B","6141100100","False",""</v>
      </c>
    </row>
    <row r="281" spans="1:38" x14ac:dyDescent="0.25">
      <c r="A281" s="1">
        <v>100</v>
      </c>
      <c r="B281" s="1" t="s">
        <v>226</v>
      </c>
      <c r="C281" s="1" t="s">
        <v>31</v>
      </c>
      <c r="D281" s="1" t="s">
        <v>67</v>
      </c>
      <c r="F281" s="1">
        <v>14</v>
      </c>
      <c r="G281" s="1" t="s">
        <v>73</v>
      </c>
      <c r="H281" s="8">
        <v>9</v>
      </c>
      <c r="J281" s="1" t="s">
        <v>59</v>
      </c>
      <c r="O281" s="11">
        <v>72000000</v>
      </c>
      <c r="Q281" s="1" t="s">
        <v>35</v>
      </c>
      <c r="R281" s="1" t="s">
        <v>36</v>
      </c>
      <c r="W281" s="1" t="s">
        <v>60</v>
      </c>
      <c r="Y281" s="1" t="s">
        <v>37</v>
      </c>
      <c r="AA281" s="12" t="s">
        <v>229</v>
      </c>
      <c r="AB281" s="1" t="s">
        <v>230</v>
      </c>
      <c r="AC281" s="12" t="s">
        <v>65</v>
      </c>
      <c r="AD281" s="13">
        <v>0.21</v>
      </c>
      <c r="AE281" s="14" t="s">
        <v>39</v>
      </c>
      <c r="AF281" s="15"/>
      <c r="AG281" s="1">
        <v>2301000000</v>
      </c>
      <c r="AH281" s="1" t="s">
        <v>76</v>
      </c>
      <c r="AI281" s="1" t="s">
        <v>44</v>
      </c>
      <c r="AL281" s="1" t="str">
        <f t="shared" si="5"/>
        <v>"Investering","","","72000000","","unspsc","M","","","","","A","","A010","","721512B","2301000000","False",""</v>
      </c>
    </row>
    <row r="282" spans="1:38" s="41" customFormat="1" x14ac:dyDescent="0.25">
      <c r="A282" s="39">
        <v>100</v>
      </c>
      <c r="B282" s="40" t="s">
        <v>226</v>
      </c>
      <c r="C282" s="41" t="s">
        <v>31</v>
      </c>
      <c r="F282" s="40">
        <v>14</v>
      </c>
      <c r="G282" s="40" t="s">
        <v>73</v>
      </c>
      <c r="H282" s="42"/>
      <c r="I282" s="42" t="s">
        <v>231</v>
      </c>
      <c r="J282" s="40" t="s">
        <v>33</v>
      </c>
      <c r="K282" s="40"/>
      <c r="O282" s="43">
        <v>72000000</v>
      </c>
      <c r="Q282" s="41" t="s">
        <v>35</v>
      </c>
      <c r="R282" s="41" t="s">
        <v>36</v>
      </c>
      <c r="Y282" s="41" t="s">
        <v>37</v>
      </c>
      <c r="Z282" s="40"/>
      <c r="AA282" s="44" t="s">
        <v>232</v>
      </c>
      <c r="AB282" s="40" t="s">
        <v>228</v>
      </c>
      <c r="AC282" s="45" t="s">
        <v>65</v>
      </c>
      <c r="AD282" s="46">
        <v>0.21</v>
      </c>
      <c r="AE282" s="47" t="s">
        <v>39</v>
      </c>
      <c r="AF282" s="48"/>
      <c r="AG282" s="40"/>
      <c r="AH282" s="40"/>
      <c r="AI282" s="40" t="s">
        <v>40</v>
      </c>
      <c r="AJ282" s="40"/>
      <c r="AK282" s="40"/>
      <c r="AL282" s="39" t="str">
        <f t="shared" si="5"/>
        <v>"Maak je keuze","","","72000000","","unspsc","M","","","","","","","A010","","721512C","","True",""</v>
      </c>
    </row>
    <row r="283" spans="1:38" s="40" customFormat="1" x14ac:dyDescent="0.25">
      <c r="A283" s="39">
        <v>100</v>
      </c>
      <c r="B283" s="41" t="s">
        <v>226</v>
      </c>
      <c r="C283" s="41" t="s">
        <v>31</v>
      </c>
      <c r="D283" s="41"/>
      <c r="E283" s="41"/>
      <c r="F283" s="41">
        <v>14</v>
      </c>
      <c r="G283" s="41" t="s">
        <v>73</v>
      </c>
      <c r="H283" s="42">
        <v>17</v>
      </c>
      <c r="I283" s="74"/>
      <c r="J283" s="41" t="s">
        <v>41</v>
      </c>
      <c r="K283" s="41"/>
      <c r="L283" s="41"/>
      <c r="M283" s="41"/>
      <c r="N283" s="41"/>
      <c r="O283" s="49">
        <v>72000000</v>
      </c>
      <c r="P283" s="41"/>
      <c r="Q283" s="41" t="s">
        <v>35</v>
      </c>
      <c r="R283" s="41" t="s">
        <v>36</v>
      </c>
      <c r="S283" s="41"/>
      <c r="T283" s="41"/>
      <c r="U283" s="41"/>
      <c r="V283" s="41"/>
      <c r="W283" s="41" t="s">
        <v>42</v>
      </c>
      <c r="X283" s="41"/>
      <c r="Y283" s="41" t="s">
        <v>37</v>
      </c>
      <c r="Z283" s="41"/>
      <c r="AA283" s="50" t="s">
        <v>232</v>
      </c>
      <c r="AB283" s="41" t="s">
        <v>228</v>
      </c>
      <c r="AC283" s="50" t="s">
        <v>65</v>
      </c>
      <c r="AD283" s="51">
        <v>0.21</v>
      </c>
      <c r="AE283" s="52" t="s">
        <v>39</v>
      </c>
      <c r="AF283" s="53"/>
      <c r="AG283" s="41">
        <v>6141100100</v>
      </c>
      <c r="AH283" s="41" t="s">
        <v>66</v>
      </c>
      <c r="AI283" s="41" t="s">
        <v>44</v>
      </c>
      <c r="AJ283" s="41"/>
      <c r="AK283" s="41"/>
      <c r="AL283" s="39" t="str">
        <f t="shared" si="5"/>
        <v>"Operationele werking","","","72000000","","unspsc","M","","","","","K","","A010","","721512C","6141100100","False",""</v>
      </c>
    </row>
    <row r="284" spans="1:38" s="41" customFormat="1" x14ac:dyDescent="0.25">
      <c r="A284" s="39">
        <v>100</v>
      </c>
      <c r="B284" s="41" t="s">
        <v>226</v>
      </c>
      <c r="C284" s="41" t="s">
        <v>31</v>
      </c>
      <c r="F284" s="41">
        <v>14</v>
      </c>
      <c r="G284" s="41" t="s">
        <v>73</v>
      </c>
      <c r="H284" s="42">
        <v>9</v>
      </c>
      <c r="I284" s="74"/>
      <c r="J284" s="41" t="s">
        <v>59</v>
      </c>
      <c r="O284" s="49">
        <v>72000000</v>
      </c>
      <c r="Q284" s="41" t="s">
        <v>35</v>
      </c>
      <c r="R284" s="41" t="s">
        <v>36</v>
      </c>
      <c r="W284" s="41" t="s">
        <v>60</v>
      </c>
      <c r="Y284" s="41" t="s">
        <v>37</v>
      </c>
      <c r="AA284" s="50" t="s">
        <v>232</v>
      </c>
      <c r="AB284" s="41" t="s">
        <v>228</v>
      </c>
      <c r="AC284" s="50" t="s">
        <v>65</v>
      </c>
      <c r="AD284" s="51">
        <v>0.21</v>
      </c>
      <c r="AE284" s="52" t="s">
        <v>39</v>
      </c>
      <c r="AF284" s="53"/>
      <c r="AG284" s="41">
        <v>2301000000</v>
      </c>
      <c r="AH284" s="41" t="s">
        <v>76</v>
      </c>
      <c r="AI284" s="41" t="s">
        <v>44</v>
      </c>
      <c r="AL284" s="39" t="str">
        <f t="shared" si="5"/>
        <v>"Investering","","","72000000","","unspsc","M","","","","","A","","A010","","721512C","2301000000","False",""</v>
      </c>
    </row>
    <row r="285" spans="1:38" s="41" customFormat="1" x14ac:dyDescent="0.25">
      <c r="A285" s="39">
        <v>100</v>
      </c>
      <c r="B285" s="40" t="s">
        <v>226</v>
      </c>
      <c r="C285" s="41" t="s">
        <v>31</v>
      </c>
      <c r="D285" s="41" t="s">
        <v>67</v>
      </c>
      <c r="F285" s="40">
        <v>14</v>
      </c>
      <c r="G285" s="40" t="s">
        <v>73</v>
      </c>
      <c r="H285" s="42"/>
      <c r="I285" s="74"/>
      <c r="J285" s="40" t="s">
        <v>33</v>
      </c>
      <c r="K285" s="40"/>
      <c r="O285" s="43">
        <v>72000000</v>
      </c>
      <c r="Q285" s="41" t="s">
        <v>35</v>
      </c>
      <c r="R285" s="41" t="s">
        <v>36</v>
      </c>
      <c r="Y285" s="41" t="s">
        <v>37</v>
      </c>
      <c r="Z285" s="40"/>
      <c r="AA285" s="44" t="s">
        <v>233</v>
      </c>
      <c r="AB285" s="40" t="s">
        <v>230</v>
      </c>
      <c r="AC285" s="45" t="s">
        <v>38</v>
      </c>
      <c r="AD285" s="46">
        <v>0.06</v>
      </c>
      <c r="AE285" s="47" t="s">
        <v>39</v>
      </c>
      <c r="AF285" s="48"/>
      <c r="AG285" s="40"/>
      <c r="AH285" s="40"/>
      <c r="AI285" s="40" t="s">
        <v>40</v>
      </c>
      <c r="AJ285" s="40"/>
      <c r="AK285" s="40"/>
      <c r="AL285" s="39" t="str">
        <f t="shared" si="5"/>
        <v>"Maak je keuze","","","72000000","","unspsc","M","","","","","","","A010","","721512D","","True",""</v>
      </c>
    </row>
    <row r="286" spans="1:38" s="40" customFormat="1" x14ac:dyDescent="0.25">
      <c r="A286" s="39">
        <v>100</v>
      </c>
      <c r="B286" s="41" t="s">
        <v>226</v>
      </c>
      <c r="C286" s="41" t="s">
        <v>31</v>
      </c>
      <c r="D286" s="41" t="s">
        <v>67</v>
      </c>
      <c r="E286" s="41"/>
      <c r="F286" s="41">
        <v>14</v>
      </c>
      <c r="G286" s="41" t="s">
        <v>73</v>
      </c>
      <c r="H286" s="42">
        <v>17</v>
      </c>
      <c r="I286" s="74"/>
      <c r="J286" s="41" t="s">
        <v>41</v>
      </c>
      <c r="K286" s="41"/>
      <c r="L286" s="41"/>
      <c r="M286" s="41"/>
      <c r="N286" s="41"/>
      <c r="O286" s="49">
        <v>72000000</v>
      </c>
      <c r="P286" s="41"/>
      <c r="Q286" s="41" t="s">
        <v>35</v>
      </c>
      <c r="R286" s="41" t="s">
        <v>36</v>
      </c>
      <c r="S286" s="41"/>
      <c r="T286" s="41"/>
      <c r="U286" s="41"/>
      <c r="V286" s="41"/>
      <c r="W286" s="41" t="s">
        <v>42</v>
      </c>
      <c r="X286" s="41"/>
      <c r="Y286" s="41" t="s">
        <v>37</v>
      </c>
      <c r="Z286" s="41"/>
      <c r="AA286" s="50" t="s">
        <v>233</v>
      </c>
      <c r="AB286" s="41" t="s">
        <v>230</v>
      </c>
      <c r="AC286" s="50" t="s">
        <v>38</v>
      </c>
      <c r="AD286" s="51">
        <v>0.06</v>
      </c>
      <c r="AE286" s="52" t="s">
        <v>39</v>
      </c>
      <c r="AF286" s="53"/>
      <c r="AG286" s="41">
        <v>6141100100</v>
      </c>
      <c r="AH286" s="41" t="s">
        <v>66</v>
      </c>
      <c r="AI286" s="41" t="s">
        <v>44</v>
      </c>
      <c r="AJ286" s="41"/>
      <c r="AK286" s="41"/>
      <c r="AL286" s="39" t="str">
        <f t="shared" si="5"/>
        <v>"Operationele werking","","","72000000","","unspsc","M","","","","","K","","A010","","721512D","6141100100","False",""</v>
      </c>
    </row>
    <row r="287" spans="1:38" s="41" customFormat="1" x14ac:dyDescent="0.25">
      <c r="A287" s="39">
        <v>100</v>
      </c>
      <c r="B287" s="41" t="s">
        <v>226</v>
      </c>
      <c r="C287" s="41" t="s">
        <v>31</v>
      </c>
      <c r="D287" s="41" t="s">
        <v>67</v>
      </c>
      <c r="F287" s="41">
        <v>14</v>
      </c>
      <c r="G287" s="41" t="s">
        <v>73</v>
      </c>
      <c r="H287" s="42">
        <v>9</v>
      </c>
      <c r="I287" s="74"/>
      <c r="J287" s="41" t="s">
        <v>59</v>
      </c>
      <c r="O287" s="49">
        <v>72000000</v>
      </c>
      <c r="Q287" s="41" t="s">
        <v>35</v>
      </c>
      <c r="R287" s="41" t="s">
        <v>36</v>
      </c>
      <c r="W287" s="41" t="s">
        <v>60</v>
      </c>
      <c r="Y287" s="41" t="s">
        <v>37</v>
      </c>
      <c r="AA287" s="50" t="s">
        <v>233</v>
      </c>
      <c r="AB287" s="41" t="s">
        <v>230</v>
      </c>
      <c r="AC287" s="50" t="s">
        <v>38</v>
      </c>
      <c r="AD287" s="51">
        <v>0.06</v>
      </c>
      <c r="AE287" s="52" t="s">
        <v>39</v>
      </c>
      <c r="AF287" s="53"/>
      <c r="AG287" s="41">
        <v>2301000000</v>
      </c>
      <c r="AH287" s="41" t="s">
        <v>76</v>
      </c>
      <c r="AI287" s="41" t="s">
        <v>44</v>
      </c>
      <c r="AL287" s="39" t="str">
        <f t="shared" si="5"/>
        <v>"Investering","","","72000000","","unspsc","M","","","","","A","","A010","","721512D","2301000000","False",""</v>
      </c>
    </row>
    <row r="288" spans="1:38" x14ac:dyDescent="0.25">
      <c r="A288" s="1">
        <v>100</v>
      </c>
      <c r="B288" s="2" t="s">
        <v>234</v>
      </c>
      <c r="D288" s="1" t="s">
        <v>79</v>
      </c>
      <c r="F288" s="2">
        <v>14</v>
      </c>
      <c r="G288" s="2" t="s">
        <v>73</v>
      </c>
      <c r="J288" s="2" t="s">
        <v>33</v>
      </c>
      <c r="K288" s="2"/>
      <c r="O288" s="3">
        <v>72000000</v>
      </c>
      <c r="Q288" s="1" t="s">
        <v>35</v>
      </c>
      <c r="R288" s="1" t="s">
        <v>36</v>
      </c>
      <c r="Y288" s="1" t="s">
        <v>37</v>
      </c>
      <c r="Z288" s="2"/>
      <c r="AA288" s="4">
        <v>7215</v>
      </c>
      <c r="AB288" s="2" t="s">
        <v>235</v>
      </c>
      <c r="AC288" s="5" t="s">
        <v>65</v>
      </c>
      <c r="AD288" s="9">
        <v>0.21</v>
      </c>
      <c r="AE288" s="10" t="s">
        <v>39</v>
      </c>
      <c r="AF288" s="19"/>
      <c r="AG288" s="2"/>
      <c r="AH288" s="2"/>
      <c r="AI288" s="2" t="s">
        <v>40</v>
      </c>
      <c r="AJ288" s="2"/>
      <c r="AK288" s="2"/>
      <c r="AL288" s="1" t="str">
        <f t="shared" si="5"/>
        <v>"Maak je keuze","","","72000000","","unspsc","M","","","","","","","A010","","7215","","True",""</v>
      </c>
    </row>
    <row r="289" spans="1:38" s="2" customFormat="1" x14ac:dyDescent="0.25">
      <c r="A289" s="1">
        <v>100</v>
      </c>
      <c r="B289" s="1" t="s">
        <v>234</v>
      </c>
      <c r="C289" s="1"/>
      <c r="D289" s="1" t="s">
        <v>79</v>
      </c>
      <c r="E289" s="1"/>
      <c r="F289" s="1">
        <v>14</v>
      </c>
      <c r="G289" s="1" t="s">
        <v>73</v>
      </c>
      <c r="H289" s="8">
        <v>17</v>
      </c>
      <c r="I289" s="8"/>
      <c r="J289" s="1" t="s">
        <v>41</v>
      </c>
      <c r="K289" s="1"/>
      <c r="L289" s="1"/>
      <c r="M289" s="1"/>
      <c r="N289" s="1"/>
      <c r="O289" s="11">
        <v>72000000</v>
      </c>
      <c r="P289" s="1"/>
      <c r="Q289" s="1" t="s">
        <v>35</v>
      </c>
      <c r="R289" s="1" t="s">
        <v>36</v>
      </c>
      <c r="S289" s="1"/>
      <c r="T289" s="1"/>
      <c r="U289" s="1"/>
      <c r="V289" s="1"/>
      <c r="W289" s="1" t="s">
        <v>42</v>
      </c>
      <c r="X289" s="1"/>
      <c r="Y289" s="1" t="s">
        <v>37</v>
      </c>
      <c r="Z289" s="1"/>
      <c r="AA289" s="12">
        <v>7215</v>
      </c>
      <c r="AB289" s="1" t="s">
        <v>235</v>
      </c>
      <c r="AC289" s="12" t="s">
        <v>65</v>
      </c>
      <c r="AD289" s="13">
        <v>0.21</v>
      </c>
      <c r="AE289" s="14" t="s">
        <v>39</v>
      </c>
      <c r="AF289" s="16"/>
      <c r="AG289" s="1">
        <v>6103000900</v>
      </c>
      <c r="AH289" s="1" t="s">
        <v>131</v>
      </c>
      <c r="AI289" s="1" t="s">
        <v>44</v>
      </c>
      <c r="AJ289" s="1"/>
      <c r="AK289" s="1"/>
      <c r="AL289" s="1" t="str">
        <f t="shared" si="5"/>
        <v>"Operationele werking","","","72000000","","unspsc","M","","","","","K","","A010","","7215","6103000900","False",""</v>
      </c>
    </row>
    <row r="290" spans="1:38" x14ac:dyDescent="0.25">
      <c r="A290" s="1">
        <v>100</v>
      </c>
      <c r="B290" s="1" t="s">
        <v>234</v>
      </c>
      <c r="D290" s="1" t="s">
        <v>79</v>
      </c>
      <c r="F290" s="1">
        <v>14</v>
      </c>
      <c r="G290" s="1" t="s">
        <v>73</v>
      </c>
      <c r="H290" s="8">
        <v>9</v>
      </c>
      <c r="J290" s="1" t="s">
        <v>59</v>
      </c>
      <c r="O290" s="11">
        <v>72000000</v>
      </c>
      <c r="Q290" s="1" t="s">
        <v>35</v>
      </c>
      <c r="R290" s="1" t="s">
        <v>36</v>
      </c>
      <c r="W290" s="1" t="s">
        <v>60</v>
      </c>
      <c r="Y290" s="1" t="s">
        <v>37</v>
      </c>
      <c r="AA290" s="12">
        <v>7215</v>
      </c>
      <c r="AB290" s="1" t="s">
        <v>235</v>
      </c>
      <c r="AC290" s="12" t="s">
        <v>65</v>
      </c>
      <c r="AD290" s="13">
        <v>0.21</v>
      </c>
      <c r="AE290" s="14" t="s">
        <v>39</v>
      </c>
      <c r="AG290" s="1">
        <v>2300000000</v>
      </c>
      <c r="AH290" s="1" t="s">
        <v>132</v>
      </c>
      <c r="AI290" s="1" t="s">
        <v>44</v>
      </c>
      <c r="AL290" s="1" t="str">
        <f t="shared" si="5"/>
        <v>"Investering","","","72000000","","unspsc","M","","","","","A","","A010","","7215","2300000000","False",""</v>
      </c>
    </row>
    <row r="291" spans="1:38" x14ac:dyDescent="0.25">
      <c r="A291" s="1">
        <v>100</v>
      </c>
      <c r="B291" s="2"/>
      <c r="C291" s="1" t="s">
        <v>62</v>
      </c>
      <c r="D291" s="1" t="s">
        <v>236</v>
      </c>
      <c r="E291" s="1" t="s">
        <v>237</v>
      </c>
      <c r="F291" s="2">
        <v>11</v>
      </c>
      <c r="G291" s="2" t="s">
        <v>238</v>
      </c>
      <c r="J291" s="2" t="s">
        <v>33</v>
      </c>
      <c r="K291" s="2"/>
      <c r="O291" s="3">
        <v>78000000</v>
      </c>
      <c r="Q291" s="1" t="s">
        <v>35</v>
      </c>
      <c r="R291" s="1" t="s">
        <v>36</v>
      </c>
      <c r="Y291" s="1" t="s">
        <v>37</v>
      </c>
      <c r="Z291" s="2"/>
      <c r="AA291" s="4" t="s">
        <v>239</v>
      </c>
      <c r="AB291" s="2" t="s">
        <v>240</v>
      </c>
      <c r="AC291" s="5" t="s">
        <v>138</v>
      </c>
      <c r="AD291" s="9">
        <v>0.06</v>
      </c>
      <c r="AE291" s="10" t="s">
        <v>53</v>
      </c>
      <c r="AF291" s="7"/>
      <c r="AG291" s="2"/>
      <c r="AH291" s="2"/>
      <c r="AI291" s="2" t="s">
        <v>40</v>
      </c>
      <c r="AJ291" s="2"/>
      <c r="AK291" s="2"/>
      <c r="AL291" s="1" t="str">
        <f t="shared" si="5"/>
        <v>"Maak je keuze","","","78000000","","unspsc","M","","","","","","","A010","","781118C","","True",""</v>
      </c>
    </row>
    <row r="292" spans="1:38" x14ac:dyDescent="0.25">
      <c r="A292" s="1">
        <v>100</v>
      </c>
      <c r="C292" s="1" t="s">
        <v>62</v>
      </c>
      <c r="D292" s="1" t="s">
        <v>236</v>
      </c>
      <c r="E292" s="1" t="s">
        <v>237</v>
      </c>
      <c r="F292" s="1">
        <v>11</v>
      </c>
      <c r="G292" s="1" t="s">
        <v>238</v>
      </c>
      <c r="H292" s="8">
        <v>11</v>
      </c>
      <c r="J292" s="1" t="s">
        <v>241</v>
      </c>
      <c r="K292" s="1" t="s">
        <v>242</v>
      </c>
      <c r="O292" s="11">
        <v>78000000</v>
      </c>
      <c r="Q292" s="1" t="s">
        <v>35</v>
      </c>
      <c r="R292" s="1" t="s">
        <v>36</v>
      </c>
      <c r="W292" s="1" t="s">
        <v>42</v>
      </c>
      <c r="Y292" s="1" t="s">
        <v>37</v>
      </c>
      <c r="AA292" s="12" t="s">
        <v>239</v>
      </c>
      <c r="AB292" s="1" t="s">
        <v>240</v>
      </c>
      <c r="AC292" s="12" t="s">
        <v>138</v>
      </c>
      <c r="AD292" s="13">
        <v>0.06</v>
      </c>
      <c r="AE292" s="14" t="s">
        <v>53</v>
      </c>
      <c r="AF292" s="15"/>
      <c r="AG292" s="1">
        <v>6030000150</v>
      </c>
      <c r="AH292" s="1" t="s">
        <v>243</v>
      </c>
      <c r="AI292" s="1" t="s">
        <v>44</v>
      </c>
      <c r="AL292" s="1" t="str">
        <f t="shared" si="5"/>
        <v>"Max fac (meerdaagse)","","","78000000","","unspsc","M","","","","","K","","A010","","781118C","6030000150","False",""</v>
      </c>
    </row>
    <row r="293" spans="1:38" x14ac:dyDescent="0.25">
      <c r="A293" s="1">
        <v>100</v>
      </c>
      <c r="C293" s="1" t="s">
        <v>62</v>
      </c>
      <c r="D293" s="1" t="s">
        <v>236</v>
      </c>
      <c r="E293" s="1" t="s">
        <v>237</v>
      </c>
      <c r="F293" s="1">
        <v>11</v>
      </c>
      <c r="G293" s="1" t="s">
        <v>238</v>
      </c>
      <c r="H293" s="8">
        <v>6</v>
      </c>
      <c r="J293" s="1" t="s">
        <v>108</v>
      </c>
      <c r="K293" s="1" t="s">
        <v>242</v>
      </c>
      <c r="O293" s="11">
        <v>78000000</v>
      </c>
      <c r="Q293" s="1" t="s">
        <v>35</v>
      </c>
      <c r="R293" s="1" t="s">
        <v>36</v>
      </c>
      <c r="W293" s="1" t="s">
        <v>42</v>
      </c>
      <c r="Y293" s="1" t="s">
        <v>37</v>
      </c>
      <c r="AA293" s="12" t="s">
        <v>239</v>
      </c>
      <c r="AB293" s="1" t="s">
        <v>240</v>
      </c>
      <c r="AC293" s="12" t="s">
        <v>138</v>
      </c>
      <c r="AD293" s="13">
        <v>0.06</v>
      </c>
      <c r="AE293" s="14" t="s">
        <v>53</v>
      </c>
      <c r="AF293" s="15"/>
      <c r="AG293" s="1">
        <v>6030000200</v>
      </c>
      <c r="AH293" s="1" t="s">
        <v>109</v>
      </c>
      <c r="AI293" s="1" t="s">
        <v>44</v>
      </c>
      <c r="AL293" s="1" t="str">
        <f t="shared" si="5"/>
        <v>"Doorverkoop onderwijs (niet max fac)","","","78000000","","unspsc","M","","","","","K","","A010","","781118C","6030000200","False",""</v>
      </c>
    </row>
    <row r="294" spans="1:38" x14ac:dyDescent="0.25">
      <c r="A294" s="1">
        <v>100</v>
      </c>
      <c r="B294" s="2"/>
      <c r="C294" s="1" t="s">
        <v>62</v>
      </c>
      <c r="D294" s="1" t="s">
        <v>236</v>
      </c>
      <c r="E294" s="1" t="s">
        <v>237</v>
      </c>
      <c r="F294" s="2">
        <v>11</v>
      </c>
      <c r="G294" s="2" t="s">
        <v>238</v>
      </c>
      <c r="J294" s="2" t="s">
        <v>33</v>
      </c>
      <c r="K294" s="2" t="s">
        <v>242</v>
      </c>
      <c r="O294" s="3">
        <v>78000000</v>
      </c>
      <c r="Q294" s="1" t="s">
        <v>35</v>
      </c>
      <c r="R294" s="1" t="s">
        <v>36</v>
      </c>
      <c r="Y294" s="1" t="s">
        <v>37</v>
      </c>
      <c r="Z294" s="2"/>
      <c r="AA294" s="4" t="s">
        <v>244</v>
      </c>
      <c r="AB294" s="2" t="s">
        <v>245</v>
      </c>
      <c r="AC294" s="5" t="s">
        <v>52</v>
      </c>
      <c r="AD294" s="9">
        <v>0</v>
      </c>
      <c r="AE294" s="10" t="s">
        <v>53</v>
      </c>
      <c r="AF294" s="7"/>
      <c r="AG294" s="2"/>
      <c r="AH294" s="2"/>
      <c r="AI294" s="2" t="s">
        <v>40</v>
      </c>
      <c r="AJ294" s="2"/>
      <c r="AK294" s="2"/>
      <c r="AL294" s="1" t="str">
        <f t="shared" si="5"/>
        <v>"Maak je keuze","","","78000000","","unspsc","M","","","","","","","A010","","781118E","","True",""</v>
      </c>
    </row>
    <row r="295" spans="1:38" x14ac:dyDescent="0.25">
      <c r="A295" s="1">
        <v>100</v>
      </c>
      <c r="C295" s="1" t="s">
        <v>62</v>
      </c>
      <c r="F295" s="1">
        <v>11</v>
      </c>
      <c r="G295" s="1" t="s">
        <v>238</v>
      </c>
      <c r="H295" s="8">
        <v>1</v>
      </c>
      <c r="J295" s="1" t="s">
        <v>170</v>
      </c>
      <c r="K295" s="1" t="s">
        <v>242</v>
      </c>
      <c r="O295" s="11">
        <v>78000000</v>
      </c>
      <c r="Q295" s="1" t="s">
        <v>35</v>
      </c>
      <c r="R295" s="1" t="s">
        <v>36</v>
      </c>
      <c r="W295" s="1" t="s">
        <v>42</v>
      </c>
      <c r="Y295" s="1" t="s">
        <v>37</v>
      </c>
      <c r="AA295" s="12" t="s">
        <v>244</v>
      </c>
      <c r="AB295" s="1" t="s">
        <v>245</v>
      </c>
      <c r="AC295" s="12" t="s">
        <v>52</v>
      </c>
      <c r="AD295" s="13">
        <v>0</v>
      </c>
      <c r="AE295" s="14" t="s">
        <v>53</v>
      </c>
      <c r="AF295" s="15"/>
      <c r="AG295" s="1">
        <v>6161000100</v>
      </c>
      <c r="AH295" s="1" t="s">
        <v>246</v>
      </c>
      <c r="AI295" s="1" t="s">
        <v>44</v>
      </c>
      <c r="AL295" s="1" t="str">
        <f t="shared" si="5"/>
        <v>"(Verbruik) Personeel / leerlingen","","","78000000","","unspsc","M","","","","","K","","A010","","781118E","6161000100","False",""</v>
      </c>
    </row>
    <row r="296" spans="1:38" x14ac:dyDescent="0.25">
      <c r="A296" s="1">
        <v>100</v>
      </c>
      <c r="C296" s="1" t="s">
        <v>62</v>
      </c>
      <c r="D296" s="1" t="s">
        <v>236</v>
      </c>
      <c r="E296" s="1" t="s">
        <v>237</v>
      </c>
      <c r="F296" s="1">
        <v>11</v>
      </c>
      <c r="G296" s="1" t="s">
        <v>238</v>
      </c>
      <c r="H296" s="8">
        <v>11</v>
      </c>
      <c r="J296" s="1" t="s">
        <v>241</v>
      </c>
      <c r="K296" s="1" t="s">
        <v>242</v>
      </c>
      <c r="O296" s="11">
        <v>78000000</v>
      </c>
      <c r="Q296" s="1" t="s">
        <v>35</v>
      </c>
      <c r="R296" s="1" t="s">
        <v>36</v>
      </c>
      <c r="W296" s="1" t="s">
        <v>42</v>
      </c>
      <c r="Y296" s="1" t="s">
        <v>37</v>
      </c>
      <c r="AA296" s="12" t="s">
        <v>244</v>
      </c>
      <c r="AB296" s="1" t="s">
        <v>245</v>
      </c>
      <c r="AC296" s="12" t="s">
        <v>52</v>
      </c>
      <c r="AD296" s="13">
        <v>0</v>
      </c>
      <c r="AE296" s="14" t="s">
        <v>53</v>
      </c>
      <c r="AF296" s="15"/>
      <c r="AG296" s="1">
        <v>6030000150</v>
      </c>
      <c r="AH296" s="1" t="s">
        <v>243</v>
      </c>
      <c r="AI296" s="1" t="s">
        <v>44</v>
      </c>
      <c r="AL296" s="1" t="str">
        <f t="shared" si="5"/>
        <v>"Max fac (meerdaagse)","","","78000000","","unspsc","M","","","","","K","","A010","","781118E","6030000150","False",""</v>
      </c>
    </row>
    <row r="297" spans="1:38" x14ac:dyDescent="0.25">
      <c r="A297" s="1">
        <v>100</v>
      </c>
      <c r="B297" s="1" t="s">
        <v>247</v>
      </c>
      <c r="C297" s="1" t="s">
        <v>62</v>
      </c>
      <c r="D297" s="1" t="s">
        <v>236</v>
      </c>
      <c r="E297" s="1" t="s">
        <v>237</v>
      </c>
      <c r="F297" s="1">
        <v>11</v>
      </c>
      <c r="G297" s="1" t="s">
        <v>238</v>
      </c>
      <c r="H297" s="8">
        <v>6</v>
      </c>
      <c r="J297" s="1" t="s">
        <v>108</v>
      </c>
      <c r="K297" s="1" t="s">
        <v>242</v>
      </c>
      <c r="O297" s="11">
        <v>78000000</v>
      </c>
      <c r="Q297" s="1" t="s">
        <v>35</v>
      </c>
      <c r="R297" s="1" t="s">
        <v>36</v>
      </c>
      <c r="W297" s="1" t="s">
        <v>42</v>
      </c>
      <c r="Y297" s="1" t="s">
        <v>37</v>
      </c>
      <c r="AA297" s="12" t="s">
        <v>244</v>
      </c>
      <c r="AB297" s="1" t="s">
        <v>245</v>
      </c>
      <c r="AC297" s="12" t="s">
        <v>52</v>
      </c>
      <c r="AD297" s="13">
        <v>0</v>
      </c>
      <c r="AE297" s="14" t="s">
        <v>53</v>
      </c>
      <c r="AF297" s="15"/>
      <c r="AG297" s="1">
        <v>6030000200</v>
      </c>
      <c r="AH297" s="1" t="s">
        <v>109</v>
      </c>
      <c r="AI297" s="1" t="s">
        <v>44</v>
      </c>
      <c r="AL297" s="1" t="str">
        <f t="shared" si="5"/>
        <v>"Doorverkoop onderwijs (niet max fac)","","","78000000","","unspsc","M","","","","","K","","A010","","781118E","6030000200","False",""</v>
      </c>
    </row>
    <row r="298" spans="1:38" x14ac:dyDescent="0.25">
      <c r="A298" s="1">
        <v>100</v>
      </c>
      <c r="B298" s="2"/>
      <c r="C298" s="1" t="s">
        <v>62</v>
      </c>
      <c r="D298" s="1" t="s">
        <v>236</v>
      </c>
      <c r="E298" s="1" t="s">
        <v>237</v>
      </c>
      <c r="F298" s="2">
        <v>11</v>
      </c>
      <c r="G298" s="2" t="s">
        <v>238</v>
      </c>
      <c r="J298" s="2" t="s">
        <v>33</v>
      </c>
      <c r="K298" s="2" t="s">
        <v>242</v>
      </c>
      <c r="O298" s="3">
        <v>78000000</v>
      </c>
      <c r="Q298" s="1" t="s">
        <v>35</v>
      </c>
      <c r="R298" s="1" t="s">
        <v>36</v>
      </c>
      <c r="Y298" s="1" t="s">
        <v>37</v>
      </c>
      <c r="Z298" s="2"/>
      <c r="AA298" s="4" t="s">
        <v>248</v>
      </c>
      <c r="AB298" s="2" t="s">
        <v>249</v>
      </c>
      <c r="AC298" s="5" t="s">
        <v>52</v>
      </c>
      <c r="AD298" s="9">
        <v>0</v>
      </c>
      <c r="AE298" s="10" t="s">
        <v>53</v>
      </c>
      <c r="AF298" s="7"/>
      <c r="AG298" s="2"/>
      <c r="AH298" s="2"/>
      <c r="AI298" s="2" t="s">
        <v>40</v>
      </c>
      <c r="AJ298" s="2"/>
      <c r="AK298" s="2"/>
      <c r="AL298" s="1" t="str">
        <f t="shared" si="5"/>
        <v>"Maak je keuze","","","78000000","","unspsc","M","","","","","","","A010","","781118G","","True",""</v>
      </c>
    </row>
    <row r="299" spans="1:38" x14ac:dyDescent="0.25">
      <c r="A299" s="1">
        <v>100</v>
      </c>
      <c r="C299" s="1" t="s">
        <v>62</v>
      </c>
      <c r="D299" s="1" t="s">
        <v>236</v>
      </c>
      <c r="E299" s="1" t="s">
        <v>237</v>
      </c>
      <c r="F299" s="1">
        <v>11</v>
      </c>
      <c r="G299" s="1" t="s">
        <v>238</v>
      </c>
      <c r="H299" s="8">
        <v>11</v>
      </c>
      <c r="J299" s="1" t="s">
        <v>241</v>
      </c>
      <c r="K299" s="1" t="s">
        <v>242</v>
      </c>
      <c r="O299" s="11">
        <v>78000000</v>
      </c>
      <c r="Q299" s="1" t="s">
        <v>35</v>
      </c>
      <c r="R299" s="1" t="s">
        <v>36</v>
      </c>
      <c r="W299" s="1" t="s">
        <v>42</v>
      </c>
      <c r="Y299" s="1" t="s">
        <v>37</v>
      </c>
      <c r="AA299" s="12" t="s">
        <v>248</v>
      </c>
      <c r="AB299" s="1" t="s">
        <v>249</v>
      </c>
      <c r="AC299" s="12" t="s">
        <v>52</v>
      </c>
      <c r="AD299" s="13">
        <v>0</v>
      </c>
      <c r="AE299" s="14" t="s">
        <v>53</v>
      </c>
      <c r="AF299" s="15"/>
      <c r="AG299" s="1">
        <v>6030000150</v>
      </c>
      <c r="AH299" s="1" t="s">
        <v>243</v>
      </c>
      <c r="AI299" s="1" t="s">
        <v>44</v>
      </c>
      <c r="AL299" s="1" t="str">
        <f t="shared" si="5"/>
        <v>"Max fac (meerdaagse)","","","78000000","","unspsc","M","","","","","K","","A010","","781118G","6030000150","False",""</v>
      </c>
    </row>
    <row r="300" spans="1:38" x14ac:dyDescent="0.25">
      <c r="A300" s="1">
        <v>100</v>
      </c>
      <c r="C300" s="1" t="s">
        <v>62</v>
      </c>
      <c r="F300" s="1">
        <v>11</v>
      </c>
      <c r="G300" s="1" t="s">
        <v>238</v>
      </c>
      <c r="H300" s="8">
        <v>1</v>
      </c>
      <c r="J300" s="1" t="s">
        <v>170</v>
      </c>
      <c r="K300" s="1" t="s">
        <v>242</v>
      </c>
      <c r="O300" s="11">
        <v>78000000</v>
      </c>
      <c r="Q300" s="1" t="s">
        <v>35</v>
      </c>
      <c r="R300" s="1" t="s">
        <v>36</v>
      </c>
      <c r="W300" s="1" t="s">
        <v>42</v>
      </c>
      <c r="Y300" s="1" t="s">
        <v>37</v>
      </c>
      <c r="AA300" s="12" t="s">
        <v>248</v>
      </c>
      <c r="AB300" s="1" t="s">
        <v>249</v>
      </c>
      <c r="AC300" s="12" t="s">
        <v>52</v>
      </c>
      <c r="AD300" s="13">
        <v>0</v>
      </c>
      <c r="AE300" s="14" t="s">
        <v>53</v>
      </c>
      <c r="AF300" s="15"/>
      <c r="AG300" s="1">
        <v>6161000100</v>
      </c>
      <c r="AH300" s="1" t="s">
        <v>246</v>
      </c>
      <c r="AI300" s="1" t="s">
        <v>44</v>
      </c>
      <c r="AL300" s="1" t="str">
        <f t="shared" si="5"/>
        <v>"(Verbruik) Personeel / leerlingen","","","78000000","","unspsc","M","","","","","K","","A010","","781118G","6161000100","False",""</v>
      </c>
    </row>
    <row r="301" spans="1:38" x14ac:dyDescent="0.25">
      <c r="A301" s="1">
        <v>100</v>
      </c>
      <c r="B301" s="1" t="s">
        <v>247</v>
      </c>
      <c r="C301" s="1" t="s">
        <v>62</v>
      </c>
      <c r="D301" s="1" t="s">
        <v>236</v>
      </c>
      <c r="E301" s="1" t="s">
        <v>237</v>
      </c>
      <c r="F301" s="1">
        <v>11</v>
      </c>
      <c r="G301" s="1" t="s">
        <v>238</v>
      </c>
      <c r="H301" s="8">
        <v>6</v>
      </c>
      <c r="J301" s="1" t="s">
        <v>108</v>
      </c>
      <c r="K301" s="1" t="s">
        <v>242</v>
      </c>
      <c r="O301" s="11">
        <v>78000000</v>
      </c>
      <c r="Q301" s="1" t="s">
        <v>35</v>
      </c>
      <c r="R301" s="1" t="s">
        <v>36</v>
      </c>
      <c r="W301" s="1" t="s">
        <v>42</v>
      </c>
      <c r="Y301" s="1" t="s">
        <v>37</v>
      </c>
      <c r="AA301" s="12" t="s">
        <v>248</v>
      </c>
      <c r="AB301" s="1" t="s">
        <v>249</v>
      </c>
      <c r="AC301" s="12" t="s">
        <v>52</v>
      </c>
      <c r="AD301" s="13">
        <v>0</v>
      </c>
      <c r="AE301" s="14" t="s">
        <v>53</v>
      </c>
      <c r="AF301" s="15"/>
      <c r="AG301" s="1">
        <v>6030000200</v>
      </c>
      <c r="AH301" s="1" t="s">
        <v>109</v>
      </c>
      <c r="AI301" s="1" t="s">
        <v>44</v>
      </c>
      <c r="AL301" s="1" t="str">
        <f t="shared" si="5"/>
        <v>"Doorverkoop onderwijs (niet max fac)","","","78000000","","unspsc","M","","","","","K","","A010","","781118G","6030000200","False",""</v>
      </c>
    </row>
    <row r="302" spans="1:38" s="75" customFormat="1" x14ac:dyDescent="0.25">
      <c r="A302" s="1">
        <v>100</v>
      </c>
      <c r="B302" s="2"/>
      <c r="C302" s="1" t="s">
        <v>62</v>
      </c>
      <c r="D302" s="1" t="s">
        <v>236</v>
      </c>
      <c r="E302" s="1" t="s">
        <v>237</v>
      </c>
      <c r="F302" s="2">
        <v>11</v>
      </c>
      <c r="G302" s="2" t="s">
        <v>238</v>
      </c>
      <c r="H302" s="8"/>
      <c r="I302" s="8"/>
      <c r="J302" s="2" t="s">
        <v>33</v>
      </c>
      <c r="K302" s="2" t="s">
        <v>242</v>
      </c>
      <c r="L302" s="1"/>
      <c r="M302" s="1"/>
      <c r="N302" s="1"/>
      <c r="O302" s="3">
        <v>78000000</v>
      </c>
      <c r="P302" s="1"/>
      <c r="Q302" s="1" t="s">
        <v>35</v>
      </c>
      <c r="R302" s="1" t="s">
        <v>36</v>
      </c>
      <c r="S302" s="1"/>
      <c r="T302" s="1"/>
      <c r="U302" s="1"/>
      <c r="V302" s="1"/>
      <c r="W302" s="1"/>
      <c r="X302" s="1"/>
      <c r="Y302" s="1" t="s">
        <v>37</v>
      </c>
      <c r="Z302" s="2"/>
      <c r="AA302" s="4" t="s">
        <v>250</v>
      </c>
      <c r="AB302" s="2" t="s">
        <v>251</v>
      </c>
      <c r="AC302" s="5" t="s">
        <v>52</v>
      </c>
      <c r="AD302" s="9">
        <v>0</v>
      </c>
      <c r="AE302" s="10" t="s">
        <v>53</v>
      </c>
      <c r="AF302" s="7"/>
      <c r="AG302" s="2"/>
      <c r="AH302" s="2"/>
      <c r="AI302" s="2" t="s">
        <v>40</v>
      </c>
      <c r="AJ302" s="2"/>
      <c r="AK302" s="2"/>
      <c r="AL302" s="1" t="str">
        <f t="shared" si="5"/>
        <v>"Maak je keuze","","","78000000","","unspsc","M","","","","","","","A010","","781118F","","True",""</v>
      </c>
    </row>
    <row r="303" spans="1:38" x14ac:dyDescent="0.25">
      <c r="A303" s="1">
        <v>100</v>
      </c>
      <c r="C303" s="1" t="s">
        <v>62</v>
      </c>
      <c r="D303" s="1" t="s">
        <v>236</v>
      </c>
      <c r="E303" s="1" t="s">
        <v>237</v>
      </c>
      <c r="F303" s="1">
        <v>11</v>
      </c>
      <c r="G303" s="1" t="s">
        <v>238</v>
      </c>
      <c r="H303" s="8">
        <v>11</v>
      </c>
      <c r="J303" s="1" t="s">
        <v>241</v>
      </c>
      <c r="K303" s="1" t="s">
        <v>242</v>
      </c>
      <c r="O303" s="11">
        <v>78000000</v>
      </c>
      <c r="Q303" s="1" t="s">
        <v>35</v>
      </c>
      <c r="R303" s="1" t="s">
        <v>36</v>
      </c>
      <c r="W303" s="1" t="s">
        <v>42</v>
      </c>
      <c r="Y303" s="1" t="s">
        <v>37</v>
      </c>
      <c r="AA303" s="12" t="s">
        <v>250</v>
      </c>
      <c r="AB303" s="1" t="s">
        <v>251</v>
      </c>
      <c r="AC303" s="12" t="s">
        <v>52</v>
      </c>
      <c r="AD303" s="13">
        <v>0</v>
      </c>
      <c r="AE303" s="14" t="s">
        <v>53</v>
      </c>
      <c r="AF303" s="15"/>
      <c r="AG303" s="1">
        <v>6030000150</v>
      </c>
      <c r="AH303" s="1" t="s">
        <v>243</v>
      </c>
      <c r="AI303" s="1" t="s">
        <v>44</v>
      </c>
      <c r="AL303" s="1" t="str">
        <f t="shared" si="5"/>
        <v>"Max fac (meerdaagse)","","","78000000","","unspsc","M","","","","","K","","A010","","781118F","6030000150","False",""</v>
      </c>
    </row>
    <row r="304" spans="1:38" x14ac:dyDescent="0.25">
      <c r="A304" s="1">
        <v>100</v>
      </c>
      <c r="C304" s="1" t="s">
        <v>62</v>
      </c>
      <c r="F304" s="1">
        <v>11</v>
      </c>
      <c r="G304" s="1" t="s">
        <v>238</v>
      </c>
      <c r="H304" s="8">
        <v>1</v>
      </c>
      <c r="J304" s="1" t="s">
        <v>170</v>
      </c>
      <c r="K304" s="1" t="s">
        <v>242</v>
      </c>
      <c r="O304" s="11">
        <v>78000000</v>
      </c>
      <c r="Q304" s="1" t="s">
        <v>35</v>
      </c>
      <c r="R304" s="1" t="s">
        <v>36</v>
      </c>
      <c r="W304" s="1" t="s">
        <v>42</v>
      </c>
      <c r="Y304" s="1" t="s">
        <v>37</v>
      </c>
      <c r="AA304" s="12" t="s">
        <v>250</v>
      </c>
      <c r="AB304" s="1" t="s">
        <v>251</v>
      </c>
      <c r="AC304" s="12" t="s">
        <v>52</v>
      </c>
      <c r="AD304" s="13">
        <v>0</v>
      </c>
      <c r="AE304" s="14" t="s">
        <v>53</v>
      </c>
      <c r="AF304" s="15"/>
      <c r="AG304" s="1">
        <v>6161000100</v>
      </c>
      <c r="AH304" s="1" t="s">
        <v>246</v>
      </c>
      <c r="AI304" s="1" t="s">
        <v>44</v>
      </c>
      <c r="AL304" s="1" t="str">
        <f t="shared" si="5"/>
        <v>"(Verbruik) Personeel / leerlingen","","","78000000","","unspsc","M","","","","","K","","A010","","781118F","6161000100","False",""</v>
      </c>
    </row>
    <row r="305" spans="1:38" x14ac:dyDescent="0.25">
      <c r="A305" s="1">
        <v>100</v>
      </c>
      <c r="B305" s="1" t="s">
        <v>247</v>
      </c>
      <c r="C305" s="1" t="s">
        <v>62</v>
      </c>
      <c r="D305" s="1" t="s">
        <v>236</v>
      </c>
      <c r="E305" s="1" t="s">
        <v>237</v>
      </c>
      <c r="F305" s="1">
        <v>11</v>
      </c>
      <c r="G305" s="1" t="s">
        <v>238</v>
      </c>
      <c r="H305" s="8">
        <v>6</v>
      </c>
      <c r="J305" s="1" t="s">
        <v>108</v>
      </c>
      <c r="K305" s="1" t="s">
        <v>242</v>
      </c>
      <c r="O305" s="11">
        <v>78000000</v>
      </c>
      <c r="Q305" s="1" t="s">
        <v>35</v>
      </c>
      <c r="R305" s="1" t="s">
        <v>36</v>
      </c>
      <c r="W305" s="1" t="s">
        <v>42</v>
      </c>
      <c r="Y305" s="1" t="s">
        <v>37</v>
      </c>
      <c r="AA305" s="12" t="s">
        <v>250</v>
      </c>
      <c r="AB305" s="1" t="s">
        <v>251</v>
      </c>
      <c r="AC305" s="12" t="s">
        <v>52</v>
      </c>
      <c r="AD305" s="13">
        <v>0</v>
      </c>
      <c r="AE305" s="14" t="s">
        <v>53</v>
      </c>
      <c r="AF305" s="15"/>
      <c r="AG305" s="1">
        <v>6030000200</v>
      </c>
      <c r="AH305" s="1" t="s">
        <v>109</v>
      </c>
      <c r="AI305" s="1" t="s">
        <v>44</v>
      </c>
      <c r="AL305" s="1" t="str">
        <f t="shared" si="5"/>
        <v>"Doorverkoop onderwijs (niet max fac)","","","78000000","","unspsc","M","","","","","K","","A010","","781118F","6030000200","False",""</v>
      </c>
    </row>
    <row r="306" spans="1:38" x14ac:dyDescent="0.25">
      <c r="A306" s="1">
        <v>100</v>
      </c>
      <c r="C306" s="1" t="s">
        <v>62</v>
      </c>
      <c r="F306" s="1">
        <v>11</v>
      </c>
      <c r="G306" s="1" t="s">
        <v>238</v>
      </c>
      <c r="H306" s="8">
        <v>1</v>
      </c>
      <c r="J306" s="1" t="s">
        <v>170</v>
      </c>
      <c r="K306" s="1" t="s">
        <v>242</v>
      </c>
      <c r="O306" s="11">
        <v>78000000</v>
      </c>
      <c r="Q306" s="1" t="s">
        <v>35</v>
      </c>
      <c r="R306" s="1" t="s">
        <v>36</v>
      </c>
      <c r="W306" s="1" t="s">
        <v>42</v>
      </c>
      <c r="Y306" s="1" t="s">
        <v>37</v>
      </c>
      <c r="AA306" s="12" t="s">
        <v>252</v>
      </c>
      <c r="AB306" s="1" t="s">
        <v>253</v>
      </c>
      <c r="AC306" s="12" t="s">
        <v>138</v>
      </c>
      <c r="AD306" s="13">
        <v>0.06</v>
      </c>
      <c r="AE306" s="14" t="s">
        <v>53</v>
      </c>
      <c r="AF306" s="15"/>
      <c r="AG306" s="1">
        <v>6161000100</v>
      </c>
      <c r="AH306" s="1" t="s">
        <v>246</v>
      </c>
      <c r="AI306" s="1" t="s">
        <v>44</v>
      </c>
      <c r="AL306" s="1" t="str">
        <f t="shared" si="5"/>
        <v>"(Verbruik) Personeel / leerlingen","","","78000000","","unspsc","M","","","","","K","","A010","","781118B","6161000100","False",""</v>
      </c>
    </row>
    <row r="307" spans="1:38" x14ac:dyDescent="0.25">
      <c r="A307" s="1">
        <v>100</v>
      </c>
      <c r="C307" s="1" t="s">
        <v>62</v>
      </c>
      <c r="F307" s="1">
        <v>11</v>
      </c>
      <c r="G307" s="1" t="s">
        <v>238</v>
      </c>
      <c r="H307" s="8">
        <v>7</v>
      </c>
      <c r="J307" s="1" t="s">
        <v>119</v>
      </c>
      <c r="K307" s="1" t="s">
        <v>242</v>
      </c>
      <c r="O307" s="11">
        <v>78000000</v>
      </c>
      <c r="Q307" s="1" t="s">
        <v>35</v>
      </c>
      <c r="R307" s="1" t="s">
        <v>36</v>
      </c>
      <c r="W307" s="1" t="s">
        <v>42</v>
      </c>
      <c r="Y307" s="1" t="s">
        <v>37</v>
      </c>
      <c r="AA307" s="12" t="s">
        <v>252</v>
      </c>
      <c r="AB307" s="1" t="s">
        <v>253</v>
      </c>
      <c r="AC307" s="12" t="s">
        <v>138</v>
      </c>
      <c r="AD307" s="13">
        <v>0.06</v>
      </c>
      <c r="AE307" s="14" t="s">
        <v>53</v>
      </c>
      <c r="AF307" s="15"/>
      <c r="AG307" s="1">
        <v>6030000100</v>
      </c>
      <c r="AH307" s="1" t="s">
        <v>120</v>
      </c>
      <c r="AI307" s="1" t="s">
        <v>44</v>
      </c>
      <c r="AL307" s="1" t="str">
        <f t="shared" si="5"/>
        <v>"Maximumfactuur","","","78000000","","unspsc","M","","","","","K","","A010","","781118B","6030000100","False",""</v>
      </c>
    </row>
    <row r="308" spans="1:38" x14ac:dyDescent="0.25">
      <c r="A308" s="1">
        <v>100</v>
      </c>
      <c r="B308" s="2"/>
      <c r="C308" s="1" t="s">
        <v>62</v>
      </c>
      <c r="F308" s="2">
        <v>11</v>
      </c>
      <c r="G308" s="2" t="s">
        <v>238</v>
      </c>
      <c r="J308" s="2" t="s">
        <v>33</v>
      </c>
      <c r="K308" s="2" t="s">
        <v>242</v>
      </c>
      <c r="O308" s="3">
        <v>78000000</v>
      </c>
      <c r="Q308" s="1" t="s">
        <v>35</v>
      </c>
      <c r="R308" s="1" t="s">
        <v>36</v>
      </c>
      <c r="Y308" s="1" t="s">
        <v>37</v>
      </c>
      <c r="Z308" s="2"/>
      <c r="AA308" s="4" t="s">
        <v>252</v>
      </c>
      <c r="AB308" s="2" t="s">
        <v>253</v>
      </c>
      <c r="AC308" s="5" t="s">
        <v>138</v>
      </c>
      <c r="AD308" s="9">
        <v>0.06</v>
      </c>
      <c r="AE308" s="10" t="s">
        <v>53</v>
      </c>
      <c r="AF308" s="7"/>
      <c r="AG308" s="2"/>
      <c r="AH308" s="2"/>
      <c r="AI308" s="2" t="s">
        <v>40</v>
      </c>
      <c r="AJ308" s="2"/>
      <c r="AK308" s="2"/>
      <c r="AL308" s="1" t="str">
        <f t="shared" si="5"/>
        <v>"Maak je keuze","","","78000000","","unspsc","M","","","","","","","A010","","781118B","","True",""</v>
      </c>
    </row>
    <row r="309" spans="1:38" x14ac:dyDescent="0.25">
      <c r="A309" s="1">
        <v>100</v>
      </c>
      <c r="B309" s="1" t="s">
        <v>247</v>
      </c>
      <c r="C309" s="1" t="s">
        <v>62</v>
      </c>
      <c r="F309" s="1">
        <v>11</v>
      </c>
      <c r="G309" s="1" t="s">
        <v>238</v>
      </c>
      <c r="H309" s="8">
        <v>6</v>
      </c>
      <c r="J309" s="1" t="s">
        <v>108</v>
      </c>
      <c r="K309" s="1" t="s">
        <v>242</v>
      </c>
      <c r="O309" s="11">
        <v>78000000</v>
      </c>
      <c r="Q309" s="1" t="s">
        <v>35</v>
      </c>
      <c r="R309" s="1" t="s">
        <v>36</v>
      </c>
      <c r="W309" s="1" t="s">
        <v>42</v>
      </c>
      <c r="Y309" s="1" t="s">
        <v>37</v>
      </c>
      <c r="AA309" s="12" t="s">
        <v>252</v>
      </c>
      <c r="AB309" s="1" t="s">
        <v>253</v>
      </c>
      <c r="AC309" s="12" t="s">
        <v>138</v>
      </c>
      <c r="AD309" s="13">
        <v>0.06</v>
      </c>
      <c r="AE309" s="14" t="s">
        <v>53</v>
      </c>
      <c r="AF309" s="15"/>
      <c r="AG309" s="1">
        <v>6030000200</v>
      </c>
      <c r="AH309" s="1" t="s">
        <v>109</v>
      </c>
      <c r="AI309" s="1" t="s">
        <v>44</v>
      </c>
      <c r="AL309" s="1" t="str">
        <f t="shared" si="5"/>
        <v>"Doorverkoop onderwijs (niet max fac)","","","78000000","","unspsc","M","","","","","K","","A010","","781118B","6030000200","False",""</v>
      </c>
    </row>
    <row r="310" spans="1:38" x14ac:dyDescent="0.25">
      <c r="A310" s="1">
        <v>100</v>
      </c>
      <c r="C310" s="1" t="s">
        <v>62</v>
      </c>
      <c r="F310" s="1">
        <v>11</v>
      </c>
      <c r="G310" s="1" t="s">
        <v>238</v>
      </c>
      <c r="H310" s="8">
        <v>1</v>
      </c>
      <c r="J310" s="1" t="s">
        <v>170</v>
      </c>
      <c r="K310" s="1" t="s">
        <v>242</v>
      </c>
      <c r="O310" s="11">
        <v>78000000</v>
      </c>
      <c r="Q310" s="1" t="s">
        <v>35</v>
      </c>
      <c r="R310" s="1" t="s">
        <v>36</v>
      </c>
      <c r="W310" s="1" t="s">
        <v>42</v>
      </c>
      <c r="Y310" s="1" t="s">
        <v>37</v>
      </c>
      <c r="AA310" s="12" t="s">
        <v>254</v>
      </c>
      <c r="AB310" s="1" t="s">
        <v>255</v>
      </c>
      <c r="AC310" s="12" t="s">
        <v>52</v>
      </c>
      <c r="AD310" s="13">
        <v>0</v>
      </c>
      <c r="AE310" s="14" t="s">
        <v>53</v>
      </c>
      <c r="AF310" s="15"/>
      <c r="AG310" s="1">
        <v>6161000100</v>
      </c>
      <c r="AH310" s="1" t="s">
        <v>246</v>
      </c>
      <c r="AI310" s="1" t="s">
        <v>44</v>
      </c>
      <c r="AL310" s="1" t="str">
        <f t="shared" si="5"/>
        <v>"(Verbruik) Personeel / leerlingen","","","78000000","","unspsc","M","","","","","K","","A010","","781118D","6161000100","False",""</v>
      </c>
    </row>
    <row r="311" spans="1:38" x14ac:dyDescent="0.25">
      <c r="A311" s="1">
        <v>100</v>
      </c>
      <c r="C311" s="1" t="s">
        <v>62</v>
      </c>
      <c r="F311" s="1">
        <v>11</v>
      </c>
      <c r="G311" s="1" t="s">
        <v>238</v>
      </c>
      <c r="H311" s="8">
        <v>7</v>
      </c>
      <c r="J311" s="1" t="s">
        <v>119</v>
      </c>
      <c r="K311" s="1" t="s">
        <v>242</v>
      </c>
      <c r="O311" s="11">
        <v>78000000</v>
      </c>
      <c r="Q311" s="1" t="s">
        <v>35</v>
      </c>
      <c r="R311" s="1" t="s">
        <v>36</v>
      </c>
      <c r="W311" s="1" t="s">
        <v>42</v>
      </c>
      <c r="Y311" s="1" t="s">
        <v>37</v>
      </c>
      <c r="AA311" s="12" t="s">
        <v>254</v>
      </c>
      <c r="AB311" s="1" t="s">
        <v>255</v>
      </c>
      <c r="AC311" s="12" t="s">
        <v>52</v>
      </c>
      <c r="AD311" s="13">
        <v>0</v>
      </c>
      <c r="AE311" s="14" t="s">
        <v>53</v>
      </c>
      <c r="AF311" s="15"/>
      <c r="AG311" s="1">
        <v>6030000100</v>
      </c>
      <c r="AH311" s="1" t="s">
        <v>120</v>
      </c>
      <c r="AI311" s="1" t="s">
        <v>44</v>
      </c>
      <c r="AL311" s="1" t="str">
        <f t="shared" si="5"/>
        <v>"Maximumfactuur","","","78000000","","unspsc","M","","","","","K","","A010","","781118D","6030000100","False",""</v>
      </c>
    </row>
    <row r="312" spans="1:38" x14ac:dyDescent="0.25">
      <c r="A312" s="1">
        <v>100</v>
      </c>
      <c r="B312" s="2"/>
      <c r="C312" s="1" t="s">
        <v>62</v>
      </c>
      <c r="F312" s="2">
        <v>11</v>
      </c>
      <c r="G312" s="2" t="s">
        <v>238</v>
      </c>
      <c r="J312" s="2" t="s">
        <v>33</v>
      </c>
      <c r="K312" s="2" t="s">
        <v>242</v>
      </c>
      <c r="O312" s="3">
        <v>78000000</v>
      </c>
      <c r="Q312" s="1" t="s">
        <v>35</v>
      </c>
      <c r="R312" s="1" t="s">
        <v>36</v>
      </c>
      <c r="Y312" s="1" t="s">
        <v>37</v>
      </c>
      <c r="Z312" s="2"/>
      <c r="AA312" s="4" t="s">
        <v>254</v>
      </c>
      <c r="AB312" s="2" t="s">
        <v>255</v>
      </c>
      <c r="AC312" s="5" t="s">
        <v>52</v>
      </c>
      <c r="AD312" s="9">
        <v>0</v>
      </c>
      <c r="AE312" s="10" t="s">
        <v>53</v>
      </c>
      <c r="AF312" s="7"/>
      <c r="AG312" s="2"/>
      <c r="AH312" s="2"/>
      <c r="AI312" s="2" t="s">
        <v>40</v>
      </c>
      <c r="AJ312" s="2"/>
      <c r="AK312" s="2"/>
      <c r="AL312" s="1" t="str">
        <f t="shared" si="5"/>
        <v>"Maak je keuze","","","78000000","","unspsc","M","","","","","","","A010","","781118D","","True",""</v>
      </c>
    </row>
    <row r="313" spans="1:38" x14ac:dyDescent="0.25">
      <c r="A313" s="1">
        <v>100</v>
      </c>
      <c r="B313" s="1" t="s">
        <v>247</v>
      </c>
      <c r="C313" s="1" t="s">
        <v>62</v>
      </c>
      <c r="F313" s="1">
        <v>11</v>
      </c>
      <c r="G313" s="1" t="s">
        <v>238</v>
      </c>
      <c r="H313" s="8">
        <v>6</v>
      </c>
      <c r="J313" s="1" t="s">
        <v>108</v>
      </c>
      <c r="K313" s="1" t="s">
        <v>242</v>
      </c>
      <c r="O313" s="11">
        <v>78000000</v>
      </c>
      <c r="Q313" s="1" t="s">
        <v>35</v>
      </c>
      <c r="R313" s="1" t="s">
        <v>36</v>
      </c>
      <c r="W313" s="1" t="s">
        <v>42</v>
      </c>
      <c r="Y313" s="1" t="s">
        <v>37</v>
      </c>
      <c r="AA313" s="12" t="s">
        <v>254</v>
      </c>
      <c r="AB313" s="1" t="s">
        <v>255</v>
      </c>
      <c r="AC313" s="12" t="s">
        <v>52</v>
      </c>
      <c r="AD313" s="13">
        <v>0</v>
      </c>
      <c r="AE313" s="14" t="s">
        <v>53</v>
      </c>
      <c r="AF313" s="15"/>
      <c r="AG313" s="1">
        <v>6030000200</v>
      </c>
      <c r="AH313" s="1" t="s">
        <v>109</v>
      </c>
      <c r="AI313" s="1" t="s">
        <v>44</v>
      </c>
      <c r="AL313" s="1" t="str">
        <f t="shared" si="5"/>
        <v>"Doorverkoop onderwijs (niet max fac)","","","78000000","","unspsc","M","","","","","K","","A010","","781118D","6030000200","False",""</v>
      </c>
    </row>
    <row r="314" spans="1:38" x14ac:dyDescent="0.25">
      <c r="A314" s="1">
        <v>100</v>
      </c>
      <c r="B314" s="2"/>
      <c r="C314" s="1" t="s">
        <v>62</v>
      </c>
      <c r="F314" s="2">
        <v>10</v>
      </c>
      <c r="G314" s="2" t="s">
        <v>256</v>
      </c>
      <c r="J314" s="2" t="s">
        <v>33</v>
      </c>
      <c r="K314" s="2" t="s">
        <v>257</v>
      </c>
      <c r="O314" s="3">
        <v>80000000</v>
      </c>
      <c r="Q314" s="1" t="s">
        <v>35</v>
      </c>
      <c r="R314" s="1" t="s">
        <v>36</v>
      </c>
      <c r="Y314" s="1" t="s">
        <v>37</v>
      </c>
      <c r="Z314" s="2"/>
      <c r="AA314" s="4" t="s">
        <v>258</v>
      </c>
      <c r="AB314" s="2" t="s">
        <v>259</v>
      </c>
      <c r="AC314" s="5" t="s">
        <v>52</v>
      </c>
      <c r="AD314" s="9">
        <v>0</v>
      </c>
      <c r="AE314" s="10" t="s">
        <v>53</v>
      </c>
      <c r="AF314" s="7"/>
      <c r="AG314" s="2"/>
      <c r="AH314" s="2"/>
      <c r="AI314" s="2" t="s">
        <v>40</v>
      </c>
      <c r="AJ314" s="2"/>
      <c r="AK314" s="2"/>
      <c r="AL314" s="1" t="str">
        <f t="shared" si="5"/>
        <v>"Maak je keuze","","","80000000","","unspsc","M","","","","","","","A010","","801416X","","True",""</v>
      </c>
    </row>
    <row r="315" spans="1:38" x14ac:dyDescent="0.25">
      <c r="A315" s="1">
        <v>100</v>
      </c>
      <c r="F315" s="1">
        <v>10</v>
      </c>
      <c r="G315" s="1" t="s">
        <v>256</v>
      </c>
      <c r="H315" s="8">
        <v>1</v>
      </c>
      <c r="J315" s="1" t="s">
        <v>170</v>
      </c>
      <c r="O315" s="11">
        <v>80000000</v>
      </c>
      <c r="Q315" s="1" t="s">
        <v>35</v>
      </c>
      <c r="R315" s="1" t="s">
        <v>36</v>
      </c>
      <c r="W315" s="1" t="s">
        <v>42</v>
      </c>
      <c r="Y315" s="1" t="s">
        <v>37</v>
      </c>
      <c r="AA315" s="12" t="s">
        <v>258</v>
      </c>
      <c r="AB315" s="1" t="s">
        <v>259</v>
      </c>
      <c r="AC315" s="12" t="s">
        <v>52</v>
      </c>
      <c r="AD315" s="13">
        <v>0</v>
      </c>
      <c r="AE315" s="14" t="s">
        <v>53</v>
      </c>
      <c r="AF315" s="15"/>
      <c r="AG315" s="1">
        <v>6152000300</v>
      </c>
      <c r="AH315" s="1" t="s">
        <v>43</v>
      </c>
      <c r="AI315" s="1" t="s">
        <v>44</v>
      </c>
      <c r="AL315" s="1" t="str">
        <f t="shared" si="5"/>
        <v>"(Verbruik) Personeel / leerlingen","","","80000000","","unspsc","M","","","","","K","","A010","","801416X","6152000300","False",""</v>
      </c>
    </row>
    <row r="316" spans="1:38" x14ac:dyDescent="0.25">
      <c r="A316" s="1">
        <v>100</v>
      </c>
      <c r="F316" s="1">
        <v>10</v>
      </c>
      <c r="G316" s="1" t="s">
        <v>256</v>
      </c>
      <c r="H316" s="8">
        <v>10</v>
      </c>
      <c r="J316" s="1" t="s">
        <v>46</v>
      </c>
      <c r="O316" s="11">
        <v>80000000</v>
      </c>
      <c r="Q316" s="1" t="s">
        <v>35</v>
      </c>
      <c r="R316" s="1" t="s">
        <v>36</v>
      </c>
      <c r="W316" s="1" t="s">
        <v>42</v>
      </c>
      <c r="Y316" s="1" t="s">
        <v>37</v>
      </c>
      <c r="AA316" s="12" t="s">
        <v>258</v>
      </c>
      <c r="AB316" s="1" t="s">
        <v>259</v>
      </c>
      <c r="AC316" s="12" t="s">
        <v>52</v>
      </c>
      <c r="AD316" s="13">
        <v>0</v>
      </c>
      <c r="AE316" s="14" t="s">
        <v>53</v>
      </c>
      <c r="AF316" s="15"/>
      <c r="AG316" s="1">
        <v>6146000400</v>
      </c>
      <c r="AH316" s="1" t="s">
        <v>47</v>
      </c>
      <c r="AI316" s="1" t="s">
        <v>44</v>
      </c>
      <c r="AL316" s="1" t="str">
        <f t="shared" si="5"/>
        <v>"Representatie externen","","","80000000","","unspsc","M","","","","","K","","A010","","801416X","6146000400","False",""</v>
      </c>
    </row>
    <row r="317" spans="1:38" x14ac:dyDescent="0.25">
      <c r="A317" s="1">
        <v>100</v>
      </c>
      <c r="B317" s="2"/>
      <c r="C317" s="1" t="s">
        <v>62</v>
      </c>
      <c r="F317" s="2">
        <v>10</v>
      </c>
      <c r="G317" s="2" t="s">
        <v>256</v>
      </c>
      <c r="J317" s="2" t="s">
        <v>33</v>
      </c>
      <c r="K317" s="2" t="s">
        <v>257</v>
      </c>
      <c r="O317" s="3">
        <v>80000000</v>
      </c>
      <c r="Q317" s="1" t="s">
        <v>35</v>
      </c>
      <c r="R317" s="1" t="s">
        <v>36</v>
      </c>
      <c r="Y317" s="1" t="s">
        <v>37</v>
      </c>
      <c r="Z317" s="2"/>
      <c r="AA317" s="4" t="s">
        <v>260</v>
      </c>
      <c r="AB317" s="2" t="s">
        <v>261</v>
      </c>
      <c r="AC317" s="5" t="s">
        <v>52</v>
      </c>
      <c r="AD317" s="9">
        <v>0</v>
      </c>
      <c r="AE317" s="10" t="s">
        <v>53</v>
      </c>
      <c r="AF317" s="7"/>
      <c r="AG317" s="2"/>
      <c r="AH317" s="2"/>
      <c r="AI317" s="2" t="s">
        <v>40</v>
      </c>
      <c r="AJ317" s="2"/>
      <c r="AK317" s="2"/>
      <c r="AL317" s="1" t="str">
        <f t="shared" si="5"/>
        <v>"Maak je keuze","","","80000000","","unspsc","M","","","","","","","A010","","801416C","","True",""</v>
      </c>
    </row>
    <row r="318" spans="1:38" x14ac:dyDescent="0.25">
      <c r="A318" s="1">
        <v>100</v>
      </c>
      <c r="C318" s="1" t="s">
        <v>62</v>
      </c>
      <c r="F318" s="1">
        <v>10</v>
      </c>
      <c r="G318" s="1" t="s">
        <v>256</v>
      </c>
      <c r="H318" s="8">
        <v>17</v>
      </c>
      <c r="J318" s="1" t="s">
        <v>41</v>
      </c>
      <c r="K318" s="1" t="s">
        <v>257</v>
      </c>
      <c r="O318" s="11">
        <v>80000000</v>
      </c>
      <c r="Q318" s="1" t="s">
        <v>35</v>
      </c>
      <c r="R318" s="1" t="s">
        <v>36</v>
      </c>
      <c r="W318" s="1" t="s">
        <v>42</v>
      </c>
      <c r="Y318" s="1" t="s">
        <v>37</v>
      </c>
      <c r="AA318" s="12" t="s">
        <v>260</v>
      </c>
      <c r="AB318" s="1" t="s">
        <v>261</v>
      </c>
      <c r="AC318" s="12" t="s">
        <v>52</v>
      </c>
      <c r="AD318" s="13">
        <v>0</v>
      </c>
      <c r="AE318" s="14" t="s">
        <v>53</v>
      </c>
      <c r="AF318" s="15"/>
      <c r="AG318" s="1">
        <v>6152000300</v>
      </c>
      <c r="AH318" s="1" t="s">
        <v>43</v>
      </c>
      <c r="AI318" s="1" t="s">
        <v>44</v>
      </c>
      <c r="AL318" s="1" t="str">
        <f t="shared" si="5"/>
        <v>"Operationele werking","","","80000000","","unspsc","M","","","","","K","","A010","","801416C","6152000300","False",""</v>
      </c>
    </row>
    <row r="319" spans="1:38" x14ac:dyDescent="0.25">
      <c r="A319" s="1">
        <v>100</v>
      </c>
      <c r="C319" s="1" t="s">
        <v>62</v>
      </c>
      <c r="F319" s="1">
        <v>10</v>
      </c>
      <c r="G319" s="1" t="s">
        <v>256</v>
      </c>
      <c r="H319" s="8">
        <v>10</v>
      </c>
      <c r="J319" s="1" t="s">
        <v>46</v>
      </c>
      <c r="K319" s="1" t="s">
        <v>257</v>
      </c>
      <c r="O319" s="11">
        <v>80000000</v>
      </c>
      <c r="Q319" s="1" t="s">
        <v>35</v>
      </c>
      <c r="R319" s="1" t="s">
        <v>36</v>
      </c>
      <c r="W319" s="1" t="s">
        <v>42</v>
      </c>
      <c r="Y319" s="1" t="s">
        <v>37</v>
      </c>
      <c r="AA319" s="12" t="s">
        <v>260</v>
      </c>
      <c r="AB319" s="1" t="s">
        <v>261</v>
      </c>
      <c r="AC319" s="12" t="s">
        <v>52</v>
      </c>
      <c r="AD319" s="13">
        <v>0</v>
      </c>
      <c r="AE319" s="14" t="s">
        <v>53</v>
      </c>
      <c r="AF319" s="15"/>
      <c r="AG319" s="1">
        <v>6146000400</v>
      </c>
      <c r="AH319" s="1" t="s">
        <v>47</v>
      </c>
      <c r="AI319" s="1" t="s">
        <v>44</v>
      </c>
      <c r="AL319" s="1" t="str">
        <f t="shared" si="5"/>
        <v>"Representatie externen","","","80000000","","unspsc","M","","","","","K","","A010","","801416C","6146000400","False",""</v>
      </c>
    </row>
    <row r="320" spans="1:38" x14ac:dyDescent="0.25">
      <c r="A320" s="1">
        <v>100</v>
      </c>
      <c r="B320" s="2"/>
      <c r="C320" s="1" t="s">
        <v>31</v>
      </c>
      <c r="F320" s="2">
        <v>10</v>
      </c>
      <c r="G320" s="2" t="s">
        <v>256</v>
      </c>
      <c r="J320" s="2" t="s">
        <v>33</v>
      </c>
      <c r="K320" s="2" t="s">
        <v>262</v>
      </c>
      <c r="O320" s="3">
        <v>80000000</v>
      </c>
      <c r="Q320" s="1" t="s">
        <v>35</v>
      </c>
      <c r="R320" s="1" t="s">
        <v>36</v>
      </c>
      <c r="Y320" s="1" t="s">
        <v>37</v>
      </c>
      <c r="Z320" s="2"/>
      <c r="AA320" s="4">
        <v>8014</v>
      </c>
      <c r="AB320" s="2" t="s">
        <v>262</v>
      </c>
      <c r="AC320" s="5" t="s">
        <v>65</v>
      </c>
      <c r="AD320" s="9">
        <v>0.21</v>
      </c>
      <c r="AE320" s="10" t="s">
        <v>39</v>
      </c>
      <c r="AF320" s="7"/>
      <c r="AG320" s="2"/>
      <c r="AH320" s="2"/>
      <c r="AI320" s="2" t="s">
        <v>40</v>
      </c>
      <c r="AJ320" s="2"/>
      <c r="AK320" s="2"/>
      <c r="AL320" s="1" t="str">
        <f t="shared" si="5"/>
        <v>"Maak je keuze","","","80000000","","unspsc","M","","","","","","","A010","","8014","","True",""</v>
      </c>
    </row>
    <row r="321" spans="1:38" x14ac:dyDescent="0.25">
      <c r="A321" s="1">
        <v>100</v>
      </c>
      <c r="C321" s="1" t="s">
        <v>31</v>
      </c>
      <c r="F321" s="1">
        <v>10</v>
      </c>
      <c r="G321" s="1" t="s">
        <v>256</v>
      </c>
      <c r="H321" s="8">
        <v>4</v>
      </c>
      <c r="J321" s="1" t="s">
        <v>159</v>
      </c>
      <c r="K321" s="1" t="s">
        <v>262</v>
      </c>
      <c r="O321" s="11">
        <v>80000000</v>
      </c>
      <c r="Q321" s="1" t="s">
        <v>35</v>
      </c>
      <c r="R321" s="1" t="s">
        <v>36</v>
      </c>
      <c r="W321" s="1" t="s">
        <v>42</v>
      </c>
      <c r="Y321" s="1" t="s">
        <v>37</v>
      </c>
      <c r="AA321" s="12">
        <v>8014</v>
      </c>
      <c r="AB321" s="1" t="s">
        <v>262</v>
      </c>
      <c r="AC321" s="12" t="s">
        <v>65</v>
      </c>
      <c r="AD321" s="13">
        <v>0.21</v>
      </c>
      <c r="AE321" s="14" t="s">
        <v>39</v>
      </c>
      <c r="AF321" s="15"/>
      <c r="AG321" s="1">
        <v>6152000200</v>
      </c>
      <c r="AH321" s="1" t="s">
        <v>164</v>
      </c>
      <c r="AI321" s="1" t="s">
        <v>44</v>
      </c>
      <c r="AL321" s="1" t="str">
        <f t="shared" si="5"/>
        <v>"Evenementen (bv infodagen &amp; personeelsfeest)","","","80000000","","unspsc","M","","","","","K","","A010","","8014","6152000200","False",""</v>
      </c>
    </row>
    <row r="322" spans="1:38" x14ac:dyDescent="0.25">
      <c r="A322" s="1">
        <v>100</v>
      </c>
      <c r="C322" s="1" t="s">
        <v>31</v>
      </c>
      <c r="F322" s="1">
        <v>10</v>
      </c>
      <c r="G322" s="1" t="s">
        <v>256</v>
      </c>
      <c r="H322" s="8">
        <v>5</v>
      </c>
      <c r="J322" s="1" t="s">
        <v>161</v>
      </c>
      <c r="K322" s="1" t="s">
        <v>262</v>
      </c>
      <c r="O322" s="11">
        <v>80000000</v>
      </c>
      <c r="Q322" s="1" t="s">
        <v>35</v>
      </c>
      <c r="R322" s="1" t="s">
        <v>36</v>
      </c>
      <c r="W322" s="1" t="s">
        <v>42</v>
      </c>
      <c r="Y322" s="1" t="s">
        <v>37</v>
      </c>
      <c r="AA322" s="12">
        <v>8014</v>
      </c>
      <c r="AB322" s="1" t="s">
        <v>262</v>
      </c>
      <c r="AC322" s="12" t="s">
        <v>65</v>
      </c>
      <c r="AD322" s="13">
        <v>0.21</v>
      </c>
      <c r="AE322" s="14" t="s">
        <v>39</v>
      </c>
      <c r="AF322" s="15"/>
      <c r="AG322" s="1">
        <v>6152000300</v>
      </c>
      <c r="AH322" s="1" t="s">
        <v>43</v>
      </c>
      <c r="AI322" s="1" t="s">
        <v>44</v>
      </c>
      <c r="AL322" s="1" t="str">
        <f t="shared" si="5"/>
        <v>"Recepties &amp; vergaderingen personeel / leerlingen","","","80000000","","unspsc","M","","","","","K","","A010","","8014","6152000300","False",""</v>
      </c>
    </row>
    <row r="323" spans="1:38" x14ac:dyDescent="0.25">
      <c r="A323" s="1">
        <v>100</v>
      </c>
      <c r="C323" s="1" t="s">
        <v>31</v>
      </c>
      <c r="F323" s="1">
        <v>10</v>
      </c>
      <c r="G323" s="1" t="s">
        <v>256</v>
      </c>
      <c r="H323" s="8">
        <v>8</v>
      </c>
      <c r="J323" s="1" t="s">
        <v>263</v>
      </c>
      <c r="K323" s="1" t="s">
        <v>262</v>
      </c>
      <c r="O323" s="11">
        <v>80000000</v>
      </c>
      <c r="Q323" s="1" t="s">
        <v>35</v>
      </c>
      <c r="R323" s="1" t="s">
        <v>36</v>
      </c>
      <c r="W323" s="1" t="s">
        <v>42</v>
      </c>
      <c r="Y323" s="1" t="s">
        <v>37</v>
      </c>
      <c r="AA323" s="12">
        <v>8014</v>
      </c>
      <c r="AB323" s="1" t="s">
        <v>262</v>
      </c>
      <c r="AC323" s="12" t="s">
        <v>65</v>
      </c>
      <c r="AD323" s="13">
        <v>0.21</v>
      </c>
      <c r="AE323" s="14" t="s">
        <v>39</v>
      </c>
      <c r="AF323" s="15"/>
      <c r="AG323" s="1">
        <v>6161000300</v>
      </c>
      <c r="AH323" s="1" t="s">
        <v>264</v>
      </c>
      <c r="AI323" s="1" t="s">
        <v>44</v>
      </c>
      <c r="AL323" s="1" t="str">
        <f t="shared" si="5"/>
        <v>"Projectwerking","","","80000000","","unspsc","M","","","","","K","","A010","","8014","6161000300","False",""</v>
      </c>
    </row>
    <row r="324" spans="1:38" x14ac:dyDescent="0.25">
      <c r="A324" s="1">
        <v>100</v>
      </c>
      <c r="B324" s="2"/>
      <c r="C324" s="1" t="s">
        <v>62</v>
      </c>
      <c r="F324" s="2">
        <v>10</v>
      </c>
      <c r="G324" s="2" t="s">
        <v>256</v>
      </c>
      <c r="J324" s="2" t="s">
        <v>33</v>
      </c>
      <c r="K324" s="2" t="s">
        <v>265</v>
      </c>
      <c r="O324" s="3">
        <v>80000000</v>
      </c>
      <c r="Q324" s="1" t="s">
        <v>35</v>
      </c>
      <c r="R324" s="1" t="s">
        <v>36</v>
      </c>
      <c r="Y324" s="1" t="s">
        <v>37</v>
      </c>
      <c r="Z324" s="2"/>
      <c r="AA324" s="4">
        <v>801716</v>
      </c>
      <c r="AB324" s="2" t="s">
        <v>266</v>
      </c>
      <c r="AC324" s="5" t="s">
        <v>138</v>
      </c>
      <c r="AD324" s="9">
        <v>0.06</v>
      </c>
      <c r="AE324" s="10" t="s">
        <v>53</v>
      </c>
      <c r="AF324" s="7"/>
      <c r="AG324" s="2"/>
      <c r="AH324" s="2"/>
      <c r="AI324" s="2" t="s">
        <v>40</v>
      </c>
      <c r="AJ324" s="2"/>
      <c r="AK324" s="2"/>
      <c r="AL324" s="1" t="str">
        <f t="shared" ref="AL324:AL387" si="6">""""&amp;J324&amp;""""&amp;","&amp;""""&amp;L324&amp;""""&amp;","&amp;""""&amp;M324&amp;""""&amp;","&amp;""""&amp;O324&amp;""""&amp;","&amp;""""&amp;P324&amp;""""&amp;","&amp;""""&amp;Q324&amp;""""&amp;","&amp;""""&amp;R324&amp;""""&amp;","&amp;""""&amp;S324&amp;""""&amp;","&amp;""""&amp;T324&amp;""""&amp;","&amp;""""&amp;U324&amp;""""&amp;","&amp;""""&amp;V324&amp;""""&amp;","&amp;""""&amp;W324&amp;""""&amp;","&amp;""""&amp;X324&amp;""""&amp;","&amp;""""&amp;Y324&amp;""""&amp;","&amp;""""&amp;Z324&amp;""""&amp;","&amp;""""&amp;AA324&amp;""""&amp;","&amp;""""&amp;AG324&amp;""""&amp;","&amp;""""&amp;AI324&amp;""""&amp;","&amp;""""&amp;AJ324&amp;""""&amp;""</f>
        <v>"Maak je keuze","","","80000000","","unspsc","M","","","","","","","A010","","801716","","True",""</v>
      </c>
    </row>
    <row r="325" spans="1:38" x14ac:dyDescent="0.25">
      <c r="A325" s="1">
        <v>100</v>
      </c>
      <c r="C325" s="1" t="s">
        <v>62</v>
      </c>
      <c r="F325" s="1">
        <v>10</v>
      </c>
      <c r="G325" s="1" t="s">
        <v>256</v>
      </c>
      <c r="H325" s="8">
        <v>17</v>
      </c>
      <c r="J325" s="1" t="s">
        <v>41</v>
      </c>
      <c r="K325" s="1" t="s">
        <v>265</v>
      </c>
      <c r="O325" s="11">
        <v>80000000</v>
      </c>
      <c r="Q325" s="1" t="s">
        <v>35</v>
      </c>
      <c r="R325" s="1" t="s">
        <v>36</v>
      </c>
      <c r="W325" s="1" t="s">
        <v>42</v>
      </c>
      <c r="Y325" s="1" t="s">
        <v>37</v>
      </c>
      <c r="AA325" s="12">
        <v>801716</v>
      </c>
      <c r="AB325" s="1" t="s">
        <v>266</v>
      </c>
      <c r="AC325" s="12" t="s">
        <v>138</v>
      </c>
      <c r="AD325" s="13">
        <v>0.06</v>
      </c>
      <c r="AE325" s="14" t="s">
        <v>53</v>
      </c>
      <c r="AF325" s="15"/>
      <c r="AG325" s="1">
        <v>6146000300</v>
      </c>
      <c r="AH325" s="1" t="s">
        <v>267</v>
      </c>
      <c r="AI325" s="1" t="s">
        <v>44</v>
      </c>
      <c r="AL325" s="1" t="str">
        <f t="shared" si="6"/>
        <v>"Operationele werking","","","80000000","","unspsc","M","","","","","K","","A010","","801716","6146000300","False",""</v>
      </c>
    </row>
    <row r="326" spans="1:38" x14ac:dyDescent="0.25">
      <c r="A326" s="1">
        <v>100</v>
      </c>
      <c r="C326" s="1" t="s">
        <v>62</v>
      </c>
      <c r="F326" s="1">
        <v>10</v>
      </c>
      <c r="G326" s="1" t="s">
        <v>256</v>
      </c>
      <c r="H326" s="8">
        <v>4</v>
      </c>
      <c r="J326" s="1" t="s">
        <v>159</v>
      </c>
      <c r="K326" s="1" t="s">
        <v>265</v>
      </c>
      <c r="O326" s="11">
        <v>80000000</v>
      </c>
      <c r="Q326" s="1" t="s">
        <v>35</v>
      </c>
      <c r="R326" s="1" t="s">
        <v>36</v>
      </c>
      <c r="W326" s="1" t="s">
        <v>42</v>
      </c>
      <c r="Y326" s="1" t="s">
        <v>37</v>
      </c>
      <c r="AA326" s="12">
        <v>801716</v>
      </c>
      <c r="AB326" s="1" t="s">
        <v>266</v>
      </c>
      <c r="AC326" s="12" t="s">
        <v>138</v>
      </c>
      <c r="AD326" s="13">
        <v>0.06</v>
      </c>
      <c r="AE326" s="14" t="s">
        <v>53</v>
      </c>
      <c r="AF326" s="15"/>
      <c r="AG326" s="1">
        <v>6152000200</v>
      </c>
      <c r="AH326" s="1" t="s">
        <v>164</v>
      </c>
      <c r="AI326" s="1" t="s">
        <v>44</v>
      </c>
      <c r="AL326" s="1" t="str">
        <f t="shared" si="6"/>
        <v>"Evenementen (bv infodagen &amp; personeelsfeest)","","","80000000","","unspsc","M","","","","","K","","A010","","801716","6152000200","False",""</v>
      </c>
    </row>
    <row r="327" spans="1:38" x14ac:dyDescent="0.25">
      <c r="A327" s="1">
        <v>100</v>
      </c>
      <c r="B327" s="2" t="s">
        <v>268</v>
      </c>
      <c r="C327" s="1" t="s">
        <v>62</v>
      </c>
      <c r="F327" s="2">
        <v>10</v>
      </c>
      <c r="G327" s="2" t="s">
        <v>256</v>
      </c>
      <c r="J327" s="2" t="s">
        <v>33</v>
      </c>
      <c r="K327" s="2" t="s">
        <v>265</v>
      </c>
      <c r="O327" s="3">
        <v>80000000</v>
      </c>
      <c r="Q327" s="1" t="s">
        <v>35</v>
      </c>
      <c r="R327" s="1" t="s">
        <v>36</v>
      </c>
      <c r="Y327" s="1" t="s">
        <v>37</v>
      </c>
      <c r="Z327" s="2"/>
      <c r="AA327" s="4" t="s">
        <v>269</v>
      </c>
      <c r="AB327" s="2" t="s">
        <v>270</v>
      </c>
      <c r="AC327" s="5" t="s">
        <v>186</v>
      </c>
      <c r="AD327" s="9">
        <v>0.06</v>
      </c>
      <c r="AE327" s="10" t="s">
        <v>53</v>
      </c>
      <c r="AF327" s="7"/>
      <c r="AG327" s="2"/>
      <c r="AH327" s="2"/>
      <c r="AI327" s="2" t="s">
        <v>40</v>
      </c>
      <c r="AJ327" s="2"/>
      <c r="AK327" s="2"/>
      <c r="AL327" s="1" t="str">
        <f t="shared" si="6"/>
        <v>"Maak je keuze","","","80000000","","unspsc","M","","","","","","","A010","","801716X","","True",""</v>
      </c>
    </row>
    <row r="328" spans="1:38" x14ac:dyDescent="0.25">
      <c r="A328" s="1">
        <v>100</v>
      </c>
      <c r="B328" s="1" t="s">
        <v>268</v>
      </c>
      <c r="C328" s="1" t="s">
        <v>62</v>
      </c>
      <c r="F328" s="1">
        <v>10</v>
      </c>
      <c r="G328" s="1" t="s">
        <v>256</v>
      </c>
      <c r="H328" s="8">
        <v>17</v>
      </c>
      <c r="J328" s="1" t="s">
        <v>41</v>
      </c>
      <c r="K328" s="1" t="s">
        <v>265</v>
      </c>
      <c r="O328" s="11">
        <v>80000000</v>
      </c>
      <c r="Q328" s="1" t="s">
        <v>35</v>
      </c>
      <c r="R328" s="1" t="s">
        <v>36</v>
      </c>
      <c r="W328" s="1" t="s">
        <v>42</v>
      </c>
      <c r="Y328" s="1" t="s">
        <v>37</v>
      </c>
      <c r="AA328" s="12" t="s">
        <v>269</v>
      </c>
      <c r="AB328" s="1" t="s">
        <v>270</v>
      </c>
      <c r="AC328" s="12" t="s">
        <v>186</v>
      </c>
      <c r="AD328" s="13">
        <v>0.06</v>
      </c>
      <c r="AE328" s="14" t="s">
        <v>53</v>
      </c>
      <c r="AF328" s="15"/>
      <c r="AG328" s="1">
        <v>6146000300</v>
      </c>
      <c r="AH328" s="1" t="s">
        <v>267</v>
      </c>
      <c r="AI328" s="1" t="s">
        <v>44</v>
      </c>
      <c r="AL328" s="1" t="str">
        <f t="shared" si="6"/>
        <v>"Operationele werking","","","80000000","","unspsc","M","","","","","K","","A010","","801716X","6146000300","False",""</v>
      </c>
    </row>
    <row r="329" spans="1:38" x14ac:dyDescent="0.25">
      <c r="A329" s="1">
        <v>100</v>
      </c>
      <c r="B329" s="1" t="s">
        <v>268</v>
      </c>
      <c r="C329" s="1" t="s">
        <v>62</v>
      </c>
      <c r="F329" s="1">
        <v>10</v>
      </c>
      <c r="G329" s="1" t="s">
        <v>256</v>
      </c>
      <c r="H329" s="8">
        <v>4</v>
      </c>
      <c r="J329" s="1" t="s">
        <v>159</v>
      </c>
      <c r="K329" s="1" t="s">
        <v>265</v>
      </c>
      <c r="O329" s="11">
        <v>80000000</v>
      </c>
      <c r="Q329" s="1" t="s">
        <v>35</v>
      </c>
      <c r="R329" s="1" t="s">
        <v>36</v>
      </c>
      <c r="W329" s="1" t="s">
        <v>42</v>
      </c>
      <c r="Y329" s="1" t="s">
        <v>37</v>
      </c>
      <c r="AA329" s="12" t="s">
        <v>269</v>
      </c>
      <c r="AB329" s="1" t="s">
        <v>270</v>
      </c>
      <c r="AC329" s="12" t="s">
        <v>186</v>
      </c>
      <c r="AD329" s="13">
        <v>0.06</v>
      </c>
      <c r="AE329" s="14" t="s">
        <v>53</v>
      </c>
      <c r="AF329" s="15"/>
      <c r="AG329" s="1">
        <v>6152000200</v>
      </c>
      <c r="AH329" s="1" t="s">
        <v>164</v>
      </c>
      <c r="AI329" s="1" t="s">
        <v>44</v>
      </c>
      <c r="AL329" s="1" t="str">
        <f t="shared" si="6"/>
        <v>"Evenementen (bv infodagen &amp; personeelsfeest)","","","80000000","","unspsc","M","","","","","K","","A010","","801716X","6152000200","False",""</v>
      </c>
    </row>
    <row r="330" spans="1:38" x14ac:dyDescent="0.25">
      <c r="A330" s="1">
        <v>100</v>
      </c>
      <c r="B330" s="2"/>
      <c r="C330" s="1" t="s">
        <v>62</v>
      </c>
      <c r="F330" s="2">
        <v>10</v>
      </c>
      <c r="G330" s="2" t="s">
        <v>256</v>
      </c>
      <c r="J330" s="2" t="s">
        <v>33</v>
      </c>
      <c r="K330" s="2" t="s">
        <v>265</v>
      </c>
      <c r="O330" s="3">
        <v>80000000</v>
      </c>
      <c r="Q330" s="1" t="s">
        <v>35</v>
      </c>
      <c r="R330" s="1" t="s">
        <v>36</v>
      </c>
      <c r="Y330" s="1" t="s">
        <v>37</v>
      </c>
      <c r="Z330" s="2"/>
      <c r="AA330" s="4">
        <v>8017</v>
      </c>
      <c r="AB330" s="2" t="s">
        <v>271</v>
      </c>
      <c r="AC330" s="5" t="s">
        <v>138</v>
      </c>
      <c r="AD330" s="9">
        <v>0.06</v>
      </c>
      <c r="AE330" s="10" t="s">
        <v>53</v>
      </c>
      <c r="AF330" s="7"/>
      <c r="AG330" s="2"/>
      <c r="AH330" s="2"/>
      <c r="AI330" s="2" t="s">
        <v>40</v>
      </c>
      <c r="AJ330" s="2"/>
      <c r="AK330" s="2"/>
      <c r="AL330" s="1" t="str">
        <f t="shared" si="6"/>
        <v>"Maak je keuze","","","80000000","","unspsc","M","","","","","","","A010","","8017","","True",""</v>
      </c>
    </row>
    <row r="331" spans="1:38" x14ac:dyDescent="0.25">
      <c r="A331" s="1">
        <v>100</v>
      </c>
      <c r="C331" s="1" t="s">
        <v>62</v>
      </c>
      <c r="F331" s="1">
        <v>10</v>
      </c>
      <c r="G331" s="1" t="s">
        <v>256</v>
      </c>
      <c r="H331" s="8">
        <v>17</v>
      </c>
      <c r="J331" s="1" t="s">
        <v>41</v>
      </c>
      <c r="K331" s="1" t="s">
        <v>265</v>
      </c>
      <c r="O331" s="11">
        <v>80000000</v>
      </c>
      <c r="Q331" s="1" t="s">
        <v>35</v>
      </c>
      <c r="R331" s="1" t="s">
        <v>36</v>
      </c>
      <c r="W331" s="1" t="s">
        <v>42</v>
      </c>
      <c r="Y331" s="1" t="s">
        <v>37</v>
      </c>
      <c r="AA331" s="12">
        <v>8017</v>
      </c>
      <c r="AB331" s="1" t="s">
        <v>271</v>
      </c>
      <c r="AC331" s="12" t="s">
        <v>138</v>
      </c>
      <c r="AD331" s="13">
        <v>0.06</v>
      </c>
      <c r="AE331" s="14" t="s">
        <v>53</v>
      </c>
      <c r="AF331" s="15"/>
      <c r="AG331" s="1">
        <v>6146000300</v>
      </c>
      <c r="AH331" s="1" t="s">
        <v>267</v>
      </c>
      <c r="AI331" s="1" t="s">
        <v>44</v>
      </c>
      <c r="AL331" s="1" t="str">
        <f t="shared" si="6"/>
        <v>"Operationele werking","","","80000000","","unspsc","M","","","","","K","","A010","","8017","6146000300","False",""</v>
      </c>
    </row>
    <row r="332" spans="1:38" x14ac:dyDescent="0.25">
      <c r="A332" s="1">
        <v>100</v>
      </c>
      <c r="C332" s="1" t="s">
        <v>62</v>
      </c>
      <c r="F332" s="1">
        <v>10</v>
      </c>
      <c r="G332" s="1" t="s">
        <v>256</v>
      </c>
      <c r="H332" s="8">
        <v>4</v>
      </c>
      <c r="J332" s="1" t="s">
        <v>159</v>
      </c>
      <c r="K332" s="1" t="s">
        <v>265</v>
      </c>
      <c r="O332" s="11">
        <v>80000000</v>
      </c>
      <c r="Q332" s="1" t="s">
        <v>35</v>
      </c>
      <c r="R332" s="1" t="s">
        <v>36</v>
      </c>
      <c r="W332" s="1" t="s">
        <v>42</v>
      </c>
      <c r="Y332" s="1" t="s">
        <v>37</v>
      </c>
      <c r="AA332" s="12">
        <v>8017</v>
      </c>
      <c r="AB332" s="1" t="s">
        <v>271</v>
      </c>
      <c r="AC332" s="12" t="s">
        <v>138</v>
      </c>
      <c r="AD332" s="13">
        <v>0.06</v>
      </c>
      <c r="AE332" s="14" t="s">
        <v>53</v>
      </c>
      <c r="AF332" s="15"/>
      <c r="AG332" s="1">
        <v>6152000200</v>
      </c>
      <c r="AH332" s="1" t="s">
        <v>164</v>
      </c>
      <c r="AI332" s="1" t="s">
        <v>44</v>
      </c>
      <c r="AL332" s="1" t="str">
        <f t="shared" si="6"/>
        <v>"Evenementen (bv infodagen &amp; personeelsfeest)","","","80000000","","unspsc","M","","","","","K","","A010","","8017","6152000200","False",""</v>
      </c>
    </row>
    <row r="333" spans="1:38" x14ac:dyDescent="0.25">
      <c r="A333" s="1">
        <v>100</v>
      </c>
      <c r="B333" s="2"/>
      <c r="C333" s="1" t="s">
        <v>62</v>
      </c>
      <c r="F333" s="2">
        <v>10</v>
      </c>
      <c r="G333" s="2" t="s">
        <v>256</v>
      </c>
      <c r="J333" s="2" t="s">
        <v>33</v>
      </c>
      <c r="K333" s="2" t="s">
        <v>265</v>
      </c>
      <c r="O333" s="3">
        <v>80000000</v>
      </c>
      <c r="Q333" s="1" t="s">
        <v>35</v>
      </c>
      <c r="R333" s="1" t="s">
        <v>36</v>
      </c>
      <c r="Y333" s="1" t="s">
        <v>37</v>
      </c>
      <c r="Z333" s="2"/>
      <c r="AA333" s="4" t="s">
        <v>272</v>
      </c>
      <c r="AB333" s="2" t="s">
        <v>273</v>
      </c>
      <c r="AC333" s="5" t="s">
        <v>186</v>
      </c>
      <c r="AD333" s="9">
        <v>0.06</v>
      </c>
      <c r="AE333" s="10" t="s">
        <v>53</v>
      </c>
      <c r="AF333" s="7"/>
      <c r="AG333" s="2"/>
      <c r="AH333" s="2"/>
      <c r="AI333" s="2" t="s">
        <v>40</v>
      </c>
      <c r="AJ333" s="2"/>
      <c r="AK333" s="2"/>
      <c r="AL333" s="1" t="str">
        <f t="shared" si="6"/>
        <v>"Maak je keuze","","","80000000","","unspsc","M","","","","","","","A010","","8017X","","True",""</v>
      </c>
    </row>
    <row r="334" spans="1:38" x14ac:dyDescent="0.25">
      <c r="A334" s="1">
        <v>100</v>
      </c>
      <c r="C334" s="1" t="s">
        <v>62</v>
      </c>
      <c r="F334" s="1">
        <v>10</v>
      </c>
      <c r="G334" s="1" t="s">
        <v>256</v>
      </c>
      <c r="H334" s="8">
        <v>17</v>
      </c>
      <c r="J334" s="1" t="s">
        <v>41</v>
      </c>
      <c r="K334" s="1" t="s">
        <v>265</v>
      </c>
      <c r="O334" s="11">
        <v>80000000</v>
      </c>
      <c r="Q334" s="1" t="s">
        <v>35</v>
      </c>
      <c r="R334" s="1" t="s">
        <v>36</v>
      </c>
      <c r="W334" s="1" t="s">
        <v>42</v>
      </c>
      <c r="Y334" s="1" t="s">
        <v>37</v>
      </c>
      <c r="AA334" s="12" t="s">
        <v>272</v>
      </c>
      <c r="AB334" s="1" t="s">
        <v>273</v>
      </c>
      <c r="AC334" s="12" t="s">
        <v>186</v>
      </c>
      <c r="AD334" s="13">
        <v>0.06</v>
      </c>
      <c r="AE334" s="14" t="s">
        <v>53</v>
      </c>
      <c r="AF334" s="15"/>
      <c r="AG334" s="1">
        <v>6146000300</v>
      </c>
      <c r="AH334" s="1" t="s">
        <v>267</v>
      </c>
      <c r="AI334" s="1" t="s">
        <v>44</v>
      </c>
      <c r="AL334" s="1" t="str">
        <f t="shared" si="6"/>
        <v>"Operationele werking","","","80000000","","unspsc","M","","","","","K","","A010","","8017X","6146000300","False",""</v>
      </c>
    </row>
    <row r="335" spans="1:38" x14ac:dyDescent="0.25">
      <c r="A335" s="1">
        <v>100</v>
      </c>
      <c r="C335" s="1" t="s">
        <v>62</v>
      </c>
      <c r="F335" s="1">
        <v>10</v>
      </c>
      <c r="G335" s="1" t="s">
        <v>256</v>
      </c>
      <c r="H335" s="8">
        <v>4</v>
      </c>
      <c r="J335" s="1" t="s">
        <v>159</v>
      </c>
      <c r="K335" s="1" t="s">
        <v>265</v>
      </c>
      <c r="O335" s="11">
        <v>80000000</v>
      </c>
      <c r="Q335" s="1" t="s">
        <v>35</v>
      </c>
      <c r="R335" s="1" t="s">
        <v>36</v>
      </c>
      <c r="W335" s="1" t="s">
        <v>42</v>
      </c>
      <c r="Y335" s="1" t="s">
        <v>37</v>
      </c>
      <c r="AA335" s="12" t="s">
        <v>272</v>
      </c>
      <c r="AB335" s="1" t="s">
        <v>273</v>
      </c>
      <c r="AC335" s="12" t="s">
        <v>186</v>
      </c>
      <c r="AD335" s="13">
        <v>0.06</v>
      </c>
      <c r="AE335" s="14" t="s">
        <v>53</v>
      </c>
      <c r="AF335" s="15"/>
      <c r="AG335" s="1">
        <v>6152000200</v>
      </c>
      <c r="AH335" s="1" t="s">
        <v>164</v>
      </c>
      <c r="AI335" s="1" t="s">
        <v>44</v>
      </c>
      <c r="AL335" s="1" t="str">
        <f t="shared" si="6"/>
        <v>"Evenementen (bv infodagen &amp; personeelsfeest)","","","80000000","","unspsc","M","","","","","K","","A010","","8017X","6152000200","False",""</v>
      </c>
    </row>
    <row r="336" spans="1:38" x14ac:dyDescent="0.25">
      <c r="A336" s="1">
        <v>100</v>
      </c>
      <c r="B336" s="2"/>
      <c r="C336" s="1" t="s">
        <v>62</v>
      </c>
      <c r="F336" s="2">
        <v>10</v>
      </c>
      <c r="G336" s="2" t="s">
        <v>256</v>
      </c>
      <c r="J336" s="2" t="s">
        <v>33</v>
      </c>
      <c r="K336" s="2" t="s">
        <v>265</v>
      </c>
      <c r="O336" s="3">
        <v>80000000</v>
      </c>
      <c r="Q336" s="1" t="s">
        <v>35</v>
      </c>
      <c r="R336" s="1" t="s">
        <v>36</v>
      </c>
      <c r="Y336" s="1" t="s">
        <v>37</v>
      </c>
      <c r="Z336" s="2"/>
      <c r="AA336" s="4">
        <v>80171602</v>
      </c>
      <c r="AB336" s="2" t="s">
        <v>274</v>
      </c>
      <c r="AC336" s="5" t="s">
        <v>138</v>
      </c>
      <c r="AD336" s="9">
        <v>0.06</v>
      </c>
      <c r="AE336" s="10" t="s">
        <v>53</v>
      </c>
      <c r="AF336" s="7"/>
      <c r="AG336" s="2"/>
      <c r="AH336" s="2"/>
      <c r="AI336" s="2" t="s">
        <v>40</v>
      </c>
      <c r="AJ336" s="2"/>
      <c r="AK336" s="2"/>
      <c r="AL336" s="1" t="str">
        <f t="shared" si="6"/>
        <v>"Maak je keuze","","","80000000","","unspsc","M","","","","","","","A010","","80171602","","True",""</v>
      </c>
    </row>
    <row r="337" spans="1:38" x14ac:dyDescent="0.25">
      <c r="A337" s="1">
        <v>100</v>
      </c>
      <c r="C337" s="1" t="s">
        <v>62</v>
      </c>
      <c r="F337" s="1">
        <v>10</v>
      </c>
      <c r="G337" s="1" t="s">
        <v>256</v>
      </c>
      <c r="H337" s="8">
        <v>17</v>
      </c>
      <c r="J337" s="1" t="s">
        <v>41</v>
      </c>
      <c r="K337" s="1" t="s">
        <v>265</v>
      </c>
      <c r="O337" s="11">
        <v>80000000</v>
      </c>
      <c r="Q337" s="1" t="s">
        <v>35</v>
      </c>
      <c r="R337" s="1" t="s">
        <v>36</v>
      </c>
      <c r="W337" s="1" t="s">
        <v>42</v>
      </c>
      <c r="Y337" s="1" t="s">
        <v>37</v>
      </c>
      <c r="AA337" s="12">
        <v>80171602</v>
      </c>
      <c r="AB337" s="1" t="s">
        <v>274</v>
      </c>
      <c r="AC337" s="12" t="s">
        <v>138</v>
      </c>
      <c r="AD337" s="13">
        <v>0.06</v>
      </c>
      <c r="AE337" s="14" t="s">
        <v>53</v>
      </c>
      <c r="AF337" s="15"/>
      <c r="AG337" s="1">
        <v>6146000300</v>
      </c>
      <c r="AH337" s="1" t="s">
        <v>267</v>
      </c>
      <c r="AI337" s="1" t="s">
        <v>44</v>
      </c>
      <c r="AL337" s="1" t="str">
        <f t="shared" si="6"/>
        <v>"Operationele werking","","","80000000","","unspsc","M","","","","","K","","A010","","80171602","6146000300","False",""</v>
      </c>
    </row>
    <row r="338" spans="1:38" x14ac:dyDescent="0.25">
      <c r="A338" s="1">
        <v>100</v>
      </c>
      <c r="C338" s="1" t="s">
        <v>62</v>
      </c>
      <c r="F338" s="1">
        <v>10</v>
      </c>
      <c r="G338" s="1" t="s">
        <v>256</v>
      </c>
      <c r="H338" s="8">
        <v>4</v>
      </c>
      <c r="J338" s="1" t="s">
        <v>159</v>
      </c>
      <c r="K338" s="1" t="s">
        <v>265</v>
      </c>
      <c r="O338" s="11">
        <v>80000000</v>
      </c>
      <c r="Q338" s="1" t="s">
        <v>35</v>
      </c>
      <c r="R338" s="1" t="s">
        <v>36</v>
      </c>
      <c r="W338" s="1" t="s">
        <v>42</v>
      </c>
      <c r="Y338" s="1" t="s">
        <v>37</v>
      </c>
      <c r="AA338" s="12">
        <v>80171602</v>
      </c>
      <c r="AB338" s="1" t="s">
        <v>274</v>
      </c>
      <c r="AC338" s="12" t="s">
        <v>138</v>
      </c>
      <c r="AD338" s="13">
        <v>0.06</v>
      </c>
      <c r="AE338" s="14" t="s">
        <v>53</v>
      </c>
      <c r="AF338" s="15"/>
      <c r="AG338" s="1">
        <v>6152000200</v>
      </c>
      <c r="AH338" s="1" t="s">
        <v>164</v>
      </c>
      <c r="AI338" s="1" t="s">
        <v>44</v>
      </c>
      <c r="AL338" s="1" t="str">
        <f t="shared" si="6"/>
        <v>"Evenementen (bv infodagen &amp; personeelsfeest)","","","80000000","","unspsc","M","","","","","K","","A010","","80171602","6152000200","False",""</v>
      </c>
    </row>
    <row r="339" spans="1:38" x14ac:dyDescent="0.25">
      <c r="A339" s="1">
        <v>100</v>
      </c>
      <c r="C339" s="1" t="s">
        <v>62</v>
      </c>
      <c r="F339" s="1">
        <v>10</v>
      </c>
      <c r="G339" s="1" t="s">
        <v>256</v>
      </c>
      <c r="H339" s="8">
        <v>4</v>
      </c>
      <c r="J339" s="1" t="s">
        <v>159</v>
      </c>
      <c r="K339" s="1" t="s">
        <v>265</v>
      </c>
      <c r="O339" s="11">
        <v>80000000</v>
      </c>
      <c r="Q339" s="1" t="s">
        <v>35</v>
      </c>
      <c r="R339" s="1" t="s">
        <v>36</v>
      </c>
      <c r="W339" s="1" t="s">
        <v>42</v>
      </c>
      <c r="Y339" s="1" t="s">
        <v>37</v>
      </c>
      <c r="AA339" s="12" t="s">
        <v>275</v>
      </c>
      <c r="AB339" s="1" t="s">
        <v>276</v>
      </c>
      <c r="AC339" s="12" t="s">
        <v>186</v>
      </c>
      <c r="AD339" s="13">
        <v>0.06</v>
      </c>
      <c r="AE339" s="14" t="s">
        <v>53</v>
      </c>
      <c r="AF339" s="15"/>
      <c r="AG339" s="1">
        <v>6152000200</v>
      </c>
      <c r="AH339" s="1" t="s">
        <v>164</v>
      </c>
      <c r="AI339" s="1" t="s">
        <v>44</v>
      </c>
      <c r="AL339" s="1" t="str">
        <f t="shared" si="6"/>
        <v>"Evenementen (bv infodagen &amp; personeelsfeest)","","","80000000","","unspsc","M","","","","","K","","A010","","8017160X","6152000200","False",""</v>
      </c>
    </row>
    <row r="340" spans="1:38" x14ac:dyDescent="0.25">
      <c r="A340" s="1">
        <v>100</v>
      </c>
      <c r="B340" s="2"/>
      <c r="C340" s="1" t="s">
        <v>134</v>
      </c>
      <c r="F340" s="2">
        <v>12</v>
      </c>
      <c r="G340" s="2" t="s">
        <v>277</v>
      </c>
      <c r="J340" s="2" t="s">
        <v>33</v>
      </c>
      <c r="K340" s="2" t="s">
        <v>278</v>
      </c>
      <c r="O340" s="3">
        <v>80000000</v>
      </c>
      <c r="Q340" s="1" t="s">
        <v>35</v>
      </c>
      <c r="R340" s="1" t="s">
        <v>36</v>
      </c>
      <c r="Y340" s="1" t="s">
        <v>37</v>
      </c>
      <c r="Z340" s="2"/>
      <c r="AA340" s="4">
        <v>80141607</v>
      </c>
      <c r="AB340" s="2" t="s">
        <v>279</v>
      </c>
      <c r="AC340" s="5" t="s">
        <v>91</v>
      </c>
      <c r="AD340" s="9">
        <v>0.21</v>
      </c>
      <c r="AE340" s="10" t="s">
        <v>53</v>
      </c>
      <c r="AF340" s="7"/>
      <c r="AG340" s="2"/>
      <c r="AH340" s="2"/>
      <c r="AI340" s="2" t="s">
        <v>40</v>
      </c>
      <c r="AJ340" s="2"/>
      <c r="AK340" s="2"/>
      <c r="AL340" s="1" t="str">
        <f t="shared" si="6"/>
        <v>"Maak je keuze","","","80000000","","unspsc","M","","","","","","","A010","","80141607","","True",""</v>
      </c>
    </row>
    <row r="341" spans="1:38" x14ac:dyDescent="0.25">
      <c r="A341" s="1">
        <v>100</v>
      </c>
      <c r="B341" s="1" t="s">
        <v>280</v>
      </c>
      <c r="C341" s="1" t="s">
        <v>134</v>
      </c>
      <c r="F341" s="1">
        <v>12</v>
      </c>
      <c r="G341" s="1" t="s">
        <v>277</v>
      </c>
      <c r="H341" s="8">
        <v>17</v>
      </c>
      <c r="J341" s="1" t="s">
        <v>41</v>
      </c>
      <c r="K341" s="1" t="s">
        <v>278</v>
      </c>
      <c r="O341" s="11">
        <v>80000000</v>
      </c>
      <c r="Q341" s="1" t="s">
        <v>35</v>
      </c>
      <c r="R341" s="1" t="s">
        <v>36</v>
      </c>
      <c r="W341" s="1" t="s">
        <v>42</v>
      </c>
      <c r="Y341" s="1" t="s">
        <v>37</v>
      </c>
      <c r="AA341" s="12">
        <v>80141607</v>
      </c>
      <c r="AB341" s="1" t="s">
        <v>279</v>
      </c>
      <c r="AC341" s="12" t="s">
        <v>91</v>
      </c>
      <c r="AD341" s="13">
        <v>0.21</v>
      </c>
      <c r="AE341" s="14" t="s">
        <v>53</v>
      </c>
      <c r="AF341" s="15"/>
      <c r="AG341" s="1">
        <v>6151000400</v>
      </c>
      <c r="AH341" s="1" t="s">
        <v>160</v>
      </c>
      <c r="AI341" s="1" t="s">
        <v>44</v>
      </c>
      <c r="AL341" s="1" t="str">
        <f t="shared" si="6"/>
        <v>"Operationele werking","","","80000000","","unspsc","M","","","","","K","","A010","","80141607","6151000400","False",""</v>
      </c>
    </row>
    <row r="342" spans="1:38" x14ac:dyDescent="0.25">
      <c r="A342" s="1">
        <v>100</v>
      </c>
      <c r="B342" s="1" t="s">
        <v>280</v>
      </c>
      <c r="C342" s="1" t="s">
        <v>134</v>
      </c>
      <c r="F342" s="1">
        <v>12</v>
      </c>
      <c r="G342" s="1" t="s">
        <v>277</v>
      </c>
      <c r="H342" s="8">
        <v>4</v>
      </c>
      <c r="J342" s="1" t="s">
        <v>159</v>
      </c>
      <c r="K342" s="1" t="s">
        <v>278</v>
      </c>
      <c r="O342" s="11">
        <v>80000000</v>
      </c>
      <c r="Q342" s="1" t="s">
        <v>35</v>
      </c>
      <c r="R342" s="1" t="s">
        <v>36</v>
      </c>
      <c r="W342" s="1" t="s">
        <v>42</v>
      </c>
      <c r="Y342" s="1" t="s">
        <v>37</v>
      </c>
      <c r="AA342" s="12">
        <v>80141607</v>
      </c>
      <c r="AB342" s="1" t="s">
        <v>279</v>
      </c>
      <c r="AC342" s="12" t="s">
        <v>91</v>
      </c>
      <c r="AD342" s="13">
        <v>0.21</v>
      </c>
      <c r="AE342" s="14" t="s">
        <v>53</v>
      </c>
      <c r="AF342" s="15"/>
      <c r="AG342" s="1">
        <v>6151000400</v>
      </c>
      <c r="AH342" s="1" t="s">
        <v>160</v>
      </c>
      <c r="AI342" s="1" t="s">
        <v>44</v>
      </c>
      <c r="AL342" s="1" t="str">
        <f t="shared" si="6"/>
        <v>"Evenementen (bv infodagen &amp; personeelsfeest)","","","80000000","","unspsc","M","","","","","K","","A010","","80141607","6151000400","False",""</v>
      </c>
    </row>
    <row r="343" spans="1:38" x14ac:dyDescent="0.25">
      <c r="A343" s="1">
        <v>100</v>
      </c>
      <c r="B343" s="2"/>
      <c r="C343" s="1" t="s">
        <v>62</v>
      </c>
      <c r="F343" s="2">
        <v>2</v>
      </c>
      <c r="G343" s="2" t="s">
        <v>105</v>
      </c>
      <c r="J343" s="2" t="s">
        <v>33</v>
      </c>
      <c r="K343" s="2" t="s">
        <v>106</v>
      </c>
      <c r="O343" s="3">
        <v>82000000</v>
      </c>
      <c r="Q343" s="1" t="s">
        <v>35</v>
      </c>
      <c r="R343" s="1" t="s">
        <v>36</v>
      </c>
      <c r="Y343" s="1" t="s">
        <v>37</v>
      </c>
      <c r="Z343" s="2"/>
      <c r="AA343" s="4">
        <v>821217</v>
      </c>
      <c r="AB343" s="2" t="s">
        <v>281</v>
      </c>
      <c r="AC343" s="5" t="s">
        <v>91</v>
      </c>
      <c r="AD343" s="9">
        <v>0.21</v>
      </c>
      <c r="AE343" s="10" t="s">
        <v>53</v>
      </c>
      <c r="AF343" s="7"/>
      <c r="AG343" s="2"/>
      <c r="AH343" s="2"/>
      <c r="AI343" s="2" t="s">
        <v>40</v>
      </c>
      <c r="AJ343" s="2"/>
      <c r="AK343" s="2"/>
      <c r="AL343" s="1" t="str">
        <f t="shared" si="6"/>
        <v>"Maak je keuze","","","82000000","","unspsc","M","","","","","","","A010","","821217","","True",""</v>
      </c>
    </row>
    <row r="344" spans="1:38" x14ac:dyDescent="0.25">
      <c r="A344" s="1">
        <v>100</v>
      </c>
      <c r="C344" s="1" t="s">
        <v>62</v>
      </c>
      <c r="F344" s="1">
        <v>2</v>
      </c>
      <c r="G344" s="1" t="s">
        <v>105</v>
      </c>
      <c r="H344" s="8">
        <v>17</v>
      </c>
      <c r="J344" s="1" t="s">
        <v>41</v>
      </c>
      <c r="K344" s="1" t="s">
        <v>106</v>
      </c>
      <c r="O344" s="11">
        <v>82000000</v>
      </c>
      <c r="Q344" s="1" t="s">
        <v>35</v>
      </c>
      <c r="R344" s="1" t="s">
        <v>36</v>
      </c>
      <c r="W344" s="1" t="s">
        <v>42</v>
      </c>
      <c r="Y344" s="1" t="s">
        <v>37</v>
      </c>
      <c r="AA344" s="12">
        <v>821217</v>
      </c>
      <c r="AB344" s="1" t="s">
        <v>281</v>
      </c>
      <c r="AC344" s="12" t="s">
        <v>91</v>
      </c>
      <c r="AD344" s="13">
        <v>0.21</v>
      </c>
      <c r="AE344" s="14" t="s">
        <v>53</v>
      </c>
      <c r="AF344" s="15"/>
      <c r="AG344" s="1">
        <v>6146000900</v>
      </c>
      <c r="AH344" s="1" t="s">
        <v>56</v>
      </c>
      <c r="AI344" s="1" t="s">
        <v>44</v>
      </c>
      <c r="AL344" s="1" t="str">
        <f t="shared" si="6"/>
        <v>"Operationele werking","","","82000000","","unspsc","M","","","","","K","","A010","","821217","6146000900","False",""</v>
      </c>
    </row>
    <row r="345" spans="1:38" x14ac:dyDescent="0.25">
      <c r="A345" s="1">
        <v>100</v>
      </c>
      <c r="C345" s="1" t="s">
        <v>62</v>
      </c>
      <c r="F345" s="1">
        <v>2</v>
      </c>
      <c r="G345" s="1" t="s">
        <v>105</v>
      </c>
      <c r="H345" s="8">
        <v>6</v>
      </c>
      <c r="J345" s="1" t="s">
        <v>108</v>
      </c>
      <c r="K345" s="1" t="s">
        <v>106</v>
      </c>
      <c r="O345" s="11">
        <v>82000000</v>
      </c>
      <c r="Q345" s="1" t="s">
        <v>35</v>
      </c>
      <c r="R345" s="1" t="s">
        <v>36</v>
      </c>
      <c r="W345" s="1" t="s">
        <v>42</v>
      </c>
      <c r="Y345" s="1" t="s">
        <v>37</v>
      </c>
      <c r="AA345" s="12">
        <v>821217</v>
      </c>
      <c r="AB345" s="1" t="s">
        <v>281</v>
      </c>
      <c r="AC345" s="12" t="s">
        <v>91</v>
      </c>
      <c r="AD345" s="13">
        <v>0.21</v>
      </c>
      <c r="AE345" s="14" t="s">
        <v>53</v>
      </c>
      <c r="AF345" s="15"/>
      <c r="AG345" s="1">
        <v>6030000200</v>
      </c>
      <c r="AH345" s="1" t="s">
        <v>109</v>
      </c>
      <c r="AI345" s="1" t="s">
        <v>44</v>
      </c>
      <c r="AL345" s="1" t="str">
        <f t="shared" si="6"/>
        <v>"Doorverkoop onderwijs (niet max fac)","","","82000000","","unspsc","M","","","","","K","","A010","","821217","6030000200","False",""</v>
      </c>
    </row>
    <row r="346" spans="1:38" x14ac:dyDescent="0.25">
      <c r="A346" s="1">
        <v>100</v>
      </c>
      <c r="C346" s="1" t="s">
        <v>62</v>
      </c>
      <c r="F346" s="1">
        <v>2</v>
      </c>
      <c r="G346" s="1" t="s">
        <v>105</v>
      </c>
      <c r="H346" s="8">
        <v>7</v>
      </c>
      <c r="J346" s="1" t="s">
        <v>119</v>
      </c>
      <c r="K346" s="1" t="s">
        <v>106</v>
      </c>
      <c r="O346" s="11">
        <v>82000000</v>
      </c>
      <c r="Q346" s="1" t="s">
        <v>35</v>
      </c>
      <c r="R346" s="1" t="s">
        <v>36</v>
      </c>
      <c r="W346" s="1" t="s">
        <v>42</v>
      </c>
      <c r="Y346" s="1" t="s">
        <v>37</v>
      </c>
      <c r="AA346" s="12">
        <v>821217</v>
      </c>
      <c r="AB346" s="1" t="s">
        <v>281</v>
      </c>
      <c r="AC346" s="12" t="s">
        <v>91</v>
      </c>
      <c r="AD346" s="13">
        <v>0.21</v>
      </c>
      <c r="AE346" s="14" t="s">
        <v>53</v>
      </c>
      <c r="AF346" s="15"/>
      <c r="AG346" s="1">
        <v>6030000100</v>
      </c>
      <c r="AH346" s="1" t="s">
        <v>120</v>
      </c>
      <c r="AI346" s="1" t="s">
        <v>44</v>
      </c>
      <c r="AL346" s="1" t="str">
        <f t="shared" si="6"/>
        <v>"Maximumfactuur","","","82000000","","unspsc","M","","","","","K","","A010","","821217","6030000100","False",""</v>
      </c>
    </row>
    <row r="347" spans="1:38" x14ac:dyDescent="0.25">
      <c r="A347" s="1">
        <v>100</v>
      </c>
      <c r="B347" s="2"/>
      <c r="C347" s="1" t="s">
        <v>31</v>
      </c>
      <c r="F347" s="2">
        <v>3</v>
      </c>
      <c r="G347" s="2" t="s">
        <v>148</v>
      </c>
      <c r="J347" s="2" t="s">
        <v>33</v>
      </c>
      <c r="K347" s="2" t="s">
        <v>187</v>
      </c>
      <c r="O347" s="3">
        <v>82000000</v>
      </c>
      <c r="Q347" s="1" t="s">
        <v>35</v>
      </c>
      <c r="R347" s="1" t="s">
        <v>36</v>
      </c>
      <c r="Y347" s="1" t="s">
        <v>37</v>
      </c>
      <c r="Z347" s="2"/>
      <c r="AA347" s="4">
        <v>821215</v>
      </c>
      <c r="AB347" s="2" t="s">
        <v>282</v>
      </c>
      <c r="AC347" s="5" t="s">
        <v>138</v>
      </c>
      <c r="AD347" s="9">
        <v>0.06</v>
      </c>
      <c r="AE347" s="10" t="s">
        <v>53</v>
      </c>
      <c r="AF347" s="7"/>
      <c r="AG347" s="2"/>
      <c r="AH347" s="2"/>
      <c r="AI347" s="2" t="s">
        <v>40</v>
      </c>
      <c r="AJ347" s="2"/>
      <c r="AK347" s="2"/>
      <c r="AL347" s="1" t="str">
        <f t="shared" si="6"/>
        <v>"Maak je keuze","","","82000000","","unspsc","M","","","","","","","A010","","821215","","True",""</v>
      </c>
    </row>
    <row r="348" spans="1:38" x14ac:dyDescent="0.25">
      <c r="A348" s="1">
        <v>100</v>
      </c>
      <c r="C348" s="1" t="s">
        <v>31</v>
      </c>
      <c r="F348" s="1">
        <v>3</v>
      </c>
      <c r="G348" s="1" t="s">
        <v>148</v>
      </c>
      <c r="H348" s="8">
        <v>3</v>
      </c>
      <c r="J348" s="1" t="s">
        <v>45</v>
      </c>
      <c r="K348" s="1" t="s">
        <v>187</v>
      </c>
      <c r="O348" s="11">
        <v>82000000</v>
      </c>
      <c r="Q348" s="1" t="s">
        <v>35</v>
      </c>
      <c r="R348" s="1" t="s">
        <v>36</v>
      </c>
      <c r="W348" s="1" t="s">
        <v>42</v>
      </c>
      <c r="Y348" s="1" t="s">
        <v>37</v>
      </c>
      <c r="AA348" s="12">
        <v>821215</v>
      </c>
      <c r="AB348" s="1" t="s">
        <v>282</v>
      </c>
      <c r="AC348" s="12" t="s">
        <v>138</v>
      </c>
      <c r="AD348" s="13">
        <v>0.06</v>
      </c>
      <c r="AE348" s="14" t="s">
        <v>53</v>
      </c>
      <c r="AF348" s="15"/>
      <c r="AG348" s="1">
        <v>6161000200</v>
      </c>
      <c r="AH348" s="1" t="s">
        <v>45</v>
      </c>
      <c r="AI348" s="1" t="s">
        <v>44</v>
      </c>
      <c r="AL348" s="1" t="str">
        <f t="shared" si="6"/>
        <v>"Didactisch materiaal","","","82000000","","unspsc","M","","","","","K","","A010","","821215","6161000200","False",""</v>
      </c>
    </row>
    <row r="349" spans="1:38" x14ac:dyDescent="0.25">
      <c r="A349" s="1">
        <v>100</v>
      </c>
      <c r="C349" s="1" t="s">
        <v>31</v>
      </c>
      <c r="F349" s="1">
        <v>3</v>
      </c>
      <c r="G349" s="1" t="s">
        <v>148</v>
      </c>
      <c r="H349" s="8">
        <v>6</v>
      </c>
      <c r="J349" s="1" t="s">
        <v>108</v>
      </c>
      <c r="K349" s="1" t="s">
        <v>187</v>
      </c>
      <c r="O349" s="11">
        <v>82000000</v>
      </c>
      <c r="Q349" s="1" t="s">
        <v>35</v>
      </c>
      <c r="R349" s="1" t="s">
        <v>36</v>
      </c>
      <c r="W349" s="1" t="s">
        <v>42</v>
      </c>
      <c r="Y349" s="1" t="s">
        <v>37</v>
      </c>
      <c r="AA349" s="12">
        <v>821215</v>
      </c>
      <c r="AB349" s="1" t="s">
        <v>282</v>
      </c>
      <c r="AC349" s="12" t="s">
        <v>138</v>
      </c>
      <c r="AD349" s="13">
        <v>0.06</v>
      </c>
      <c r="AE349" s="14" t="s">
        <v>53</v>
      </c>
      <c r="AF349" s="15"/>
      <c r="AG349" s="1">
        <v>6030000200</v>
      </c>
      <c r="AH349" s="1" t="s">
        <v>109</v>
      </c>
      <c r="AI349" s="1" t="s">
        <v>44</v>
      </c>
      <c r="AL349" s="1" t="str">
        <f t="shared" si="6"/>
        <v>"Doorverkoop onderwijs (niet max fac)","","","82000000","","unspsc","M","","","","","K","","A010","","821215","6030000200","False",""</v>
      </c>
    </row>
    <row r="350" spans="1:38" x14ac:dyDescent="0.25">
      <c r="A350" s="1">
        <v>100</v>
      </c>
      <c r="C350" s="1" t="s">
        <v>31</v>
      </c>
      <c r="F350" s="1">
        <v>3</v>
      </c>
      <c r="G350" s="1" t="s">
        <v>148</v>
      </c>
      <c r="H350" s="8">
        <v>7</v>
      </c>
      <c r="J350" s="1" t="s">
        <v>119</v>
      </c>
      <c r="K350" s="1" t="s">
        <v>187</v>
      </c>
      <c r="O350" s="11">
        <v>82000000</v>
      </c>
      <c r="Q350" s="1" t="s">
        <v>35</v>
      </c>
      <c r="R350" s="1" t="s">
        <v>36</v>
      </c>
      <c r="W350" s="1" t="s">
        <v>42</v>
      </c>
      <c r="Y350" s="1" t="s">
        <v>37</v>
      </c>
      <c r="AA350" s="12">
        <v>821215</v>
      </c>
      <c r="AB350" s="1" t="s">
        <v>282</v>
      </c>
      <c r="AC350" s="12" t="s">
        <v>138</v>
      </c>
      <c r="AD350" s="13">
        <v>0.06</v>
      </c>
      <c r="AE350" s="14" t="s">
        <v>53</v>
      </c>
      <c r="AF350" s="15"/>
      <c r="AG350" s="1">
        <v>6030000100</v>
      </c>
      <c r="AH350" s="1" t="s">
        <v>120</v>
      </c>
      <c r="AI350" s="1" t="s">
        <v>44</v>
      </c>
      <c r="AL350" s="1" t="str">
        <f t="shared" si="6"/>
        <v>"Maximumfactuur","","","82000000","","unspsc","M","","","","","K","","A010","","821215","6030000100","False",""</v>
      </c>
    </row>
    <row r="351" spans="1:38" x14ac:dyDescent="0.25">
      <c r="A351" s="1">
        <v>100</v>
      </c>
      <c r="B351" s="2"/>
      <c r="C351" s="1" t="s">
        <v>31</v>
      </c>
      <c r="F351" s="2">
        <v>10</v>
      </c>
      <c r="G351" s="2" t="s">
        <v>256</v>
      </c>
      <c r="J351" s="2" t="s">
        <v>33</v>
      </c>
      <c r="K351" s="2" t="s">
        <v>283</v>
      </c>
      <c r="O351" s="3">
        <v>82000000</v>
      </c>
      <c r="Q351" s="1" t="s">
        <v>35</v>
      </c>
      <c r="R351" s="1" t="s">
        <v>36</v>
      </c>
      <c r="Y351" s="1" t="s">
        <v>37</v>
      </c>
      <c r="Z351" s="2"/>
      <c r="AA351" s="4">
        <v>8212</v>
      </c>
      <c r="AB351" s="2" t="s">
        <v>283</v>
      </c>
      <c r="AC351" s="5" t="s">
        <v>138</v>
      </c>
      <c r="AD351" s="9">
        <v>0.06</v>
      </c>
      <c r="AE351" s="10" t="s">
        <v>53</v>
      </c>
      <c r="AF351" s="7"/>
      <c r="AG351" s="2"/>
      <c r="AH351" s="2"/>
      <c r="AI351" s="2" t="s">
        <v>40</v>
      </c>
      <c r="AJ351" s="2"/>
      <c r="AK351" s="2"/>
      <c r="AL351" s="1" t="str">
        <f t="shared" si="6"/>
        <v>"Maak je keuze","","","82000000","","unspsc","M","","","","","","","A010","","8212","","True",""</v>
      </c>
    </row>
    <row r="352" spans="1:38" x14ac:dyDescent="0.25">
      <c r="A352" s="1">
        <v>100</v>
      </c>
      <c r="C352" s="1" t="s">
        <v>31</v>
      </c>
      <c r="F352" s="1">
        <v>10</v>
      </c>
      <c r="G352" s="1" t="s">
        <v>256</v>
      </c>
      <c r="H352" s="8">
        <v>3</v>
      </c>
      <c r="J352" s="1" t="s">
        <v>45</v>
      </c>
      <c r="K352" s="1" t="s">
        <v>283</v>
      </c>
      <c r="O352" s="11">
        <v>82000000</v>
      </c>
      <c r="Q352" s="1" t="s">
        <v>35</v>
      </c>
      <c r="R352" s="1" t="s">
        <v>36</v>
      </c>
      <c r="W352" s="1" t="s">
        <v>42</v>
      </c>
      <c r="Y352" s="1" t="s">
        <v>37</v>
      </c>
      <c r="AA352" s="12">
        <v>8212</v>
      </c>
      <c r="AB352" s="1" t="s">
        <v>283</v>
      </c>
      <c r="AC352" s="12" t="s">
        <v>138</v>
      </c>
      <c r="AD352" s="13">
        <v>0.06</v>
      </c>
      <c r="AE352" s="14" t="s">
        <v>53</v>
      </c>
      <c r="AF352" s="15"/>
      <c r="AG352" s="1">
        <v>6161000200</v>
      </c>
      <c r="AH352" s="1" t="s">
        <v>45</v>
      </c>
      <c r="AI352" s="1" t="s">
        <v>44</v>
      </c>
      <c r="AL352" s="1" t="str">
        <f t="shared" si="6"/>
        <v>"Didactisch materiaal","","","82000000","","unspsc","M","","","","","K","","A010","","8212","6161000200","False",""</v>
      </c>
    </row>
    <row r="353" spans="1:38" x14ac:dyDescent="0.25">
      <c r="A353" s="1">
        <v>100</v>
      </c>
      <c r="C353" s="1" t="s">
        <v>31</v>
      </c>
      <c r="F353" s="1">
        <v>10</v>
      </c>
      <c r="G353" s="1" t="s">
        <v>256</v>
      </c>
      <c r="H353" s="8">
        <v>6</v>
      </c>
      <c r="J353" s="1" t="s">
        <v>108</v>
      </c>
      <c r="K353" s="1" t="s">
        <v>283</v>
      </c>
      <c r="O353" s="11">
        <v>82000000</v>
      </c>
      <c r="Q353" s="1" t="s">
        <v>35</v>
      </c>
      <c r="R353" s="1" t="s">
        <v>36</v>
      </c>
      <c r="W353" s="1" t="s">
        <v>42</v>
      </c>
      <c r="Y353" s="1" t="s">
        <v>37</v>
      </c>
      <c r="AA353" s="12">
        <v>8212</v>
      </c>
      <c r="AB353" s="1" t="s">
        <v>283</v>
      </c>
      <c r="AC353" s="12" t="s">
        <v>138</v>
      </c>
      <c r="AD353" s="13">
        <v>0.06</v>
      </c>
      <c r="AE353" s="14" t="s">
        <v>53</v>
      </c>
      <c r="AF353" s="15"/>
      <c r="AG353" s="1">
        <v>6030000200</v>
      </c>
      <c r="AH353" s="1" t="s">
        <v>109</v>
      </c>
      <c r="AI353" s="1" t="s">
        <v>44</v>
      </c>
      <c r="AL353" s="1" t="str">
        <f t="shared" si="6"/>
        <v>"Doorverkoop onderwijs (niet max fac)","","","82000000","","unspsc","M","","","","","K","","A010","","8212","6030000200","False",""</v>
      </c>
    </row>
    <row r="354" spans="1:38" x14ac:dyDescent="0.25">
      <c r="A354" s="1">
        <v>100</v>
      </c>
      <c r="C354" s="1" t="s">
        <v>31</v>
      </c>
      <c r="F354" s="1">
        <v>10</v>
      </c>
      <c r="G354" s="1" t="s">
        <v>256</v>
      </c>
      <c r="H354" s="8">
        <v>7</v>
      </c>
      <c r="J354" s="1" t="s">
        <v>119</v>
      </c>
      <c r="K354" s="1" t="s">
        <v>283</v>
      </c>
      <c r="O354" s="11">
        <v>82000000</v>
      </c>
      <c r="Q354" s="1" t="s">
        <v>35</v>
      </c>
      <c r="R354" s="1" t="s">
        <v>36</v>
      </c>
      <c r="W354" s="1" t="s">
        <v>42</v>
      </c>
      <c r="Y354" s="1" t="s">
        <v>37</v>
      </c>
      <c r="AA354" s="12">
        <v>8212</v>
      </c>
      <c r="AB354" s="1" t="s">
        <v>283</v>
      </c>
      <c r="AC354" s="12" t="s">
        <v>138</v>
      </c>
      <c r="AD354" s="13">
        <v>0.06</v>
      </c>
      <c r="AE354" s="14" t="s">
        <v>53</v>
      </c>
      <c r="AF354" s="15"/>
      <c r="AG354" s="1">
        <v>6030000100</v>
      </c>
      <c r="AH354" s="1" t="s">
        <v>120</v>
      </c>
      <c r="AI354" s="1" t="s">
        <v>44</v>
      </c>
      <c r="AL354" s="1" t="str">
        <f t="shared" si="6"/>
        <v>"Maximumfactuur","","","82000000","","unspsc","M","","","","","K","","A010","","8212","6030000100","False",""</v>
      </c>
    </row>
    <row r="355" spans="1:38" x14ac:dyDescent="0.25">
      <c r="A355" s="1">
        <v>100</v>
      </c>
      <c r="C355" s="1" t="s">
        <v>31</v>
      </c>
      <c r="F355" s="1">
        <v>10</v>
      </c>
      <c r="G355" s="1" t="s">
        <v>256</v>
      </c>
      <c r="H355" s="8">
        <v>8</v>
      </c>
      <c r="J355" s="1" t="s">
        <v>263</v>
      </c>
      <c r="K355" s="1" t="s">
        <v>283</v>
      </c>
      <c r="O355" s="11">
        <v>82000000</v>
      </c>
      <c r="Q355" s="1" t="s">
        <v>35</v>
      </c>
      <c r="R355" s="1" t="s">
        <v>36</v>
      </c>
      <c r="W355" s="1" t="s">
        <v>42</v>
      </c>
      <c r="Y355" s="1" t="s">
        <v>37</v>
      </c>
      <c r="AA355" s="12">
        <v>8212</v>
      </c>
      <c r="AB355" s="1" t="s">
        <v>283</v>
      </c>
      <c r="AC355" s="12" t="s">
        <v>138</v>
      </c>
      <c r="AD355" s="13">
        <v>0.06</v>
      </c>
      <c r="AE355" s="14" t="s">
        <v>53</v>
      </c>
      <c r="AF355" s="15"/>
      <c r="AG355" s="11">
        <v>6161000300</v>
      </c>
      <c r="AH355" s="1" t="s">
        <v>264</v>
      </c>
      <c r="AI355" s="1" t="s">
        <v>44</v>
      </c>
      <c r="AL355" s="1" t="str">
        <f t="shared" si="6"/>
        <v>"Projectwerking","","","82000000","","unspsc","M","","","","","K","","A010","","8212","6161000300","False",""</v>
      </c>
    </row>
    <row r="356" spans="1:38" x14ac:dyDescent="0.25">
      <c r="A356" s="1">
        <v>100</v>
      </c>
      <c r="B356" s="2" t="s">
        <v>284</v>
      </c>
      <c r="C356" s="1" t="s">
        <v>62</v>
      </c>
      <c r="F356" s="2">
        <v>10</v>
      </c>
      <c r="G356" s="2" t="s">
        <v>256</v>
      </c>
      <c r="J356" s="2" t="s">
        <v>33</v>
      </c>
      <c r="K356" s="2" t="s">
        <v>283</v>
      </c>
      <c r="O356" s="3">
        <v>82000000</v>
      </c>
      <c r="Q356" s="1" t="s">
        <v>35</v>
      </c>
      <c r="R356" s="1" t="s">
        <v>36</v>
      </c>
      <c r="Y356" s="1" t="s">
        <v>37</v>
      </c>
      <c r="Z356" s="2"/>
      <c r="AA356" s="4" t="s">
        <v>285</v>
      </c>
      <c r="AB356" s="2" t="s">
        <v>286</v>
      </c>
      <c r="AC356" s="5" t="s">
        <v>138</v>
      </c>
      <c r="AD356" s="9">
        <v>0.06</v>
      </c>
      <c r="AE356" s="10" t="s">
        <v>53</v>
      </c>
      <c r="AF356" s="7"/>
      <c r="AG356" s="2"/>
      <c r="AH356" s="2"/>
      <c r="AI356" s="2" t="s">
        <v>40</v>
      </c>
      <c r="AJ356" s="2"/>
      <c r="AK356" s="2"/>
      <c r="AL356" s="1" t="str">
        <f t="shared" si="6"/>
        <v>"Maak je keuze","","","82000000","","unspsc","M","","","","","","","A010","","8212X","","True",""</v>
      </c>
    </row>
    <row r="357" spans="1:38" x14ac:dyDescent="0.25">
      <c r="A357" s="1">
        <v>100</v>
      </c>
      <c r="B357" s="1" t="s">
        <v>284</v>
      </c>
      <c r="C357" s="1" t="s">
        <v>62</v>
      </c>
      <c r="F357" s="1">
        <v>10</v>
      </c>
      <c r="G357" s="1" t="s">
        <v>256</v>
      </c>
      <c r="H357" s="8">
        <v>17</v>
      </c>
      <c r="J357" s="1" t="s">
        <v>41</v>
      </c>
      <c r="K357" s="1" t="s">
        <v>283</v>
      </c>
      <c r="O357" s="11">
        <v>82000000</v>
      </c>
      <c r="Q357" s="1" t="s">
        <v>35</v>
      </c>
      <c r="R357" s="1" t="s">
        <v>36</v>
      </c>
      <c r="W357" s="1" t="s">
        <v>42</v>
      </c>
      <c r="Y357" s="1" t="s">
        <v>37</v>
      </c>
      <c r="AA357" s="12" t="s">
        <v>285</v>
      </c>
      <c r="AB357" s="1" t="s">
        <v>286</v>
      </c>
      <c r="AC357" s="12" t="s">
        <v>138</v>
      </c>
      <c r="AD357" s="13">
        <v>0.06</v>
      </c>
      <c r="AE357" s="14" t="s">
        <v>53</v>
      </c>
      <c r="AF357" s="15"/>
      <c r="AG357" s="1">
        <v>6146000900</v>
      </c>
      <c r="AH357" s="1" t="s">
        <v>56</v>
      </c>
      <c r="AI357" s="1" t="s">
        <v>44</v>
      </c>
      <c r="AL357" s="1" t="str">
        <f t="shared" si="6"/>
        <v>"Operationele werking","","","82000000","","unspsc","M","","","","","K","","A010","","8212X","6146000900","False",""</v>
      </c>
    </row>
    <row r="358" spans="1:38" x14ac:dyDescent="0.25">
      <c r="A358" s="1">
        <v>100</v>
      </c>
      <c r="B358" s="1" t="s">
        <v>284</v>
      </c>
      <c r="C358" s="1" t="s">
        <v>62</v>
      </c>
      <c r="F358" s="1">
        <v>10</v>
      </c>
      <c r="G358" s="1" t="s">
        <v>256</v>
      </c>
      <c r="H358" s="8">
        <v>3</v>
      </c>
      <c r="J358" s="1" t="s">
        <v>45</v>
      </c>
      <c r="K358" s="1" t="s">
        <v>283</v>
      </c>
      <c r="O358" s="11">
        <v>82000000</v>
      </c>
      <c r="Q358" s="1" t="s">
        <v>35</v>
      </c>
      <c r="R358" s="1" t="s">
        <v>36</v>
      </c>
      <c r="W358" s="1" t="s">
        <v>42</v>
      </c>
      <c r="Y358" s="1" t="s">
        <v>37</v>
      </c>
      <c r="AA358" s="12" t="s">
        <v>285</v>
      </c>
      <c r="AB358" s="1" t="s">
        <v>286</v>
      </c>
      <c r="AC358" s="12" t="s">
        <v>138</v>
      </c>
      <c r="AD358" s="13">
        <v>0.06</v>
      </c>
      <c r="AE358" s="14" t="s">
        <v>53</v>
      </c>
      <c r="AF358" s="15"/>
      <c r="AG358" s="1">
        <v>6161000200</v>
      </c>
      <c r="AH358" s="1" t="s">
        <v>45</v>
      </c>
      <c r="AI358" s="1" t="s">
        <v>44</v>
      </c>
      <c r="AL358" s="1" t="str">
        <f t="shared" si="6"/>
        <v>"Didactisch materiaal","","","82000000","","unspsc","M","","","","","K","","A010","","8212X","6161000200","False",""</v>
      </c>
    </row>
    <row r="359" spans="1:38" x14ac:dyDescent="0.25">
      <c r="A359" s="1">
        <v>100</v>
      </c>
      <c r="B359" s="1" t="s">
        <v>284</v>
      </c>
      <c r="C359" s="1" t="s">
        <v>62</v>
      </c>
      <c r="F359" s="1">
        <v>10</v>
      </c>
      <c r="G359" s="1" t="s">
        <v>256</v>
      </c>
      <c r="H359" s="8">
        <v>4</v>
      </c>
      <c r="J359" s="1" t="s">
        <v>159</v>
      </c>
      <c r="K359" s="1" t="s">
        <v>283</v>
      </c>
      <c r="O359" s="11">
        <v>82000000</v>
      </c>
      <c r="Q359" s="1" t="s">
        <v>35</v>
      </c>
      <c r="R359" s="1" t="s">
        <v>36</v>
      </c>
      <c r="W359" s="1" t="s">
        <v>42</v>
      </c>
      <c r="Y359" s="1" t="s">
        <v>37</v>
      </c>
      <c r="AA359" s="12" t="s">
        <v>285</v>
      </c>
      <c r="AB359" s="1" t="s">
        <v>286</v>
      </c>
      <c r="AC359" s="12" t="s">
        <v>138</v>
      </c>
      <c r="AD359" s="13">
        <v>0.06</v>
      </c>
      <c r="AE359" s="14" t="s">
        <v>53</v>
      </c>
      <c r="AF359" s="15"/>
      <c r="AG359" s="1">
        <v>6152000200</v>
      </c>
      <c r="AH359" s="1" t="s">
        <v>164</v>
      </c>
      <c r="AI359" s="1" t="s">
        <v>44</v>
      </c>
      <c r="AL359" s="1" t="str">
        <f t="shared" si="6"/>
        <v>"Evenementen (bv infodagen &amp; personeelsfeest)","","","82000000","","unspsc","M","","","","","K","","A010","","8212X","6152000200","False",""</v>
      </c>
    </row>
    <row r="360" spans="1:38" x14ac:dyDescent="0.25">
      <c r="A360" s="1">
        <v>100</v>
      </c>
      <c r="B360" s="1" t="s">
        <v>284</v>
      </c>
      <c r="C360" s="1" t="s">
        <v>62</v>
      </c>
      <c r="F360" s="1">
        <v>10</v>
      </c>
      <c r="G360" s="1" t="s">
        <v>256</v>
      </c>
      <c r="H360" s="8">
        <v>5</v>
      </c>
      <c r="J360" s="1" t="s">
        <v>161</v>
      </c>
      <c r="K360" s="1" t="s">
        <v>283</v>
      </c>
      <c r="O360" s="11">
        <v>82000000</v>
      </c>
      <c r="Q360" s="1" t="s">
        <v>35</v>
      </c>
      <c r="R360" s="1" t="s">
        <v>36</v>
      </c>
      <c r="W360" s="1" t="s">
        <v>42</v>
      </c>
      <c r="Y360" s="1" t="s">
        <v>37</v>
      </c>
      <c r="AA360" s="12" t="s">
        <v>285</v>
      </c>
      <c r="AB360" s="1" t="s">
        <v>286</v>
      </c>
      <c r="AC360" s="12" t="s">
        <v>138</v>
      </c>
      <c r="AD360" s="13">
        <v>0.06</v>
      </c>
      <c r="AE360" s="14" t="s">
        <v>53</v>
      </c>
      <c r="AF360" s="15"/>
      <c r="AG360" s="1">
        <v>6152000300</v>
      </c>
      <c r="AH360" s="1" t="s">
        <v>43</v>
      </c>
      <c r="AI360" s="1" t="s">
        <v>44</v>
      </c>
      <c r="AL360" s="1" t="str">
        <f t="shared" si="6"/>
        <v>"Recepties &amp; vergaderingen personeel / leerlingen","","","82000000","","unspsc","M","","","","","K","","A010","","8212X","6152000300","False",""</v>
      </c>
    </row>
    <row r="361" spans="1:38" x14ac:dyDescent="0.25">
      <c r="A361" s="1">
        <v>100</v>
      </c>
      <c r="B361" s="1" t="s">
        <v>284</v>
      </c>
      <c r="C361" s="1" t="s">
        <v>62</v>
      </c>
      <c r="F361" s="1">
        <v>10</v>
      </c>
      <c r="G361" s="1" t="s">
        <v>256</v>
      </c>
      <c r="H361" s="8">
        <v>6</v>
      </c>
      <c r="J361" s="1" t="s">
        <v>108</v>
      </c>
      <c r="K361" s="1" t="s">
        <v>283</v>
      </c>
      <c r="O361" s="11">
        <v>82000000</v>
      </c>
      <c r="Q361" s="1" t="s">
        <v>35</v>
      </c>
      <c r="R361" s="1" t="s">
        <v>36</v>
      </c>
      <c r="W361" s="1" t="s">
        <v>42</v>
      </c>
      <c r="Y361" s="1" t="s">
        <v>37</v>
      </c>
      <c r="AA361" s="12" t="s">
        <v>285</v>
      </c>
      <c r="AB361" s="1" t="s">
        <v>286</v>
      </c>
      <c r="AC361" s="12" t="s">
        <v>138</v>
      </c>
      <c r="AD361" s="13">
        <v>0.06</v>
      </c>
      <c r="AE361" s="14" t="s">
        <v>53</v>
      </c>
      <c r="AF361" s="15"/>
      <c r="AG361" s="1">
        <v>6030000200</v>
      </c>
      <c r="AH361" s="1" t="s">
        <v>109</v>
      </c>
      <c r="AI361" s="1" t="s">
        <v>44</v>
      </c>
      <c r="AL361" s="1" t="str">
        <f t="shared" si="6"/>
        <v>"Doorverkoop onderwijs (niet max fac)","","","82000000","","unspsc","M","","","","","K","","A010","","8212X","6030000200","False",""</v>
      </c>
    </row>
    <row r="362" spans="1:38" x14ac:dyDescent="0.25">
      <c r="A362" s="1">
        <v>100</v>
      </c>
      <c r="B362" s="1" t="s">
        <v>284</v>
      </c>
      <c r="C362" s="1" t="s">
        <v>62</v>
      </c>
      <c r="F362" s="1">
        <v>10</v>
      </c>
      <c r="G362" s="1" t="s">
        <v>256</v>
      </c>
      <c r="H362" s="8">
        <v>7</v>
      </c>
      <c r="J362" s="1" t="s">
        <v>119</v>
      </c>
      <c r="K362" s="1" t="s">
        <v>283</v>
      </c>
      <c r="O362" s="11">
        <v>82000000</v>
      </c>
      <c r="Q362" s="1" t="s">
        <v>35</v>
      </c>
      <c r="R362" s="1" t="s">
        <v>36</v>
      </c>
      <c r="W362" s="1" t="s">
        <v>42</v>
      </c>
      <c r="Y362" s="1" t="s">
        <v>37</v>
      </c>
      <c r="AA362" s="12" t="s">
        <v>285</v>
      </c>
      <c r="AB362" s="1" t="s">
        <v>286</v>
      </c>
      <c r="AC362" s="12" t="s">
        <v>138</v>
      </c>
      <c r="AD362" s="13">
        <v>0.06</v>
      </c>
      <c r="AE362" s="14" t="s">
        <v>53</v>
      </c>
      <c r="AF362" s="15"/>
      <c r="AG362" s="1">
        <v>6030000100</v>
      </c>
      <c r="AH362" s="1" t="s">
        <v>120</v>
      </c>
      <c r="AI362" s="1" t="s">
        <v>44</v>
      </c>
      <c r="AL362" s="1" t="str">
        <f t="shared" si="6"/>
        <v>"Maximumfactuur","","","82000000","","unspsc","M","","","","","K","","A010","","8212X","6030000100","False",""</v>
      </c>
    </row>
    <row r="363" spans="1:38" x14ac:dyDescent="0.25">
      <c r="A363" s="1">
        <v>100</v>
      </c>
      <c r="B363" s="1" t="s">
        <v>284</v>
      </c>
      <c r="C363" s="1" t="s">
        <v>62</v>
      </c>
      <c r="F363" s="1">
        <v>10</v>
      </c>
      <c r="G363" s="1" t="s">
        <v>256</v>
      </c>
      <c r="H363" s="8">
        <v>8</v>
      </c>
      <c r="J363" s="1" t="s">
        <v>263</v>
      </c>
      <c r="K363" s="1" t="s">
        <v>283</v>
      </c>
      <c r="O363" s="11">
        <v>82000000</v>
      </c>
      <c r="Q363" s="1" t="s">
        <v>35</v>
      </c>
      <c r="R363" s="1" t="s">
        <v>36</v>
      </c>
      <c r="W363" s="1" t="s">
        <v>42</v>
      </c>
      <c r="Y363" s="1" t="s">
        <v>37</v>
      </c>
      <c r="AA363" s="12" t="s">
        <v>285</v>
      </c>
      <c r="AB363" s="1" t="s">
        <v>286</v>
      </c>
      <c r="AC363" s="12" t="s">
        <v>138</v>
      </c>
      <c r="AD363" s="13">
        <v>0.06</v>
      </c>
      <c r="AE363" s="14" t="s">
        <v>53</v>
      </c>
      <c r="AF363" s="15"/>
      <c r="AG363" s="1">
        <v>6161000300</v>
      </c>
      <c r="AH363" s="1" t="s">
        <v>264</v>
      </c>
      <c r="AI363" s="1" t="s">
        <v>44</v>
      </c>
      <c r="AL363" s="1" t="str">
        <f t="shared" si="6"/>
        <v>"Projectwerking","","","82000000","","unspsc","M","","","","","K","","A010","","8212X","6161000300","False",""</v>
      </c>
    </row>
    <row r="364" spans="1:38" x14ac:dyDescent="0.25">
      <c r="A364" s="1">
        <v>100</v>
      </c>
      <c r="B364" s="2"/>
      <c r="C364" s="1" t="s">
        <v>134</v>
      </c>
      <c r="F364" s="2">
        <v>12</v>
      </c>
      <c r="G364" s="2" t="s">
        <v>277</v>
      </c>
      <c r="J364" s="2" t="s">
        <v>33</v>
      </c>
      <c r="K364" s="2" t="s">
        <v>278</v>
      </c>
      <c r="O364" s="3">
        <v>86000000</v>
      </c>
      <c r="Q364" s="1" t="s">
        <v>35</v>
      </c>
      <c r="R364" s="1" t="s">
        <v>36</v>
      </c>
      <c r="Y364" s="1" t="s">
        <v>37</v>
      </c>
      <c r="Z364" s="2"/>
      <c r="AA364" s="4">
        <v>86</v>
      </c>
      <c r="AB364" s="2" t="s">
        <v>287</v>
      </c>
      <c r="AC364" s="5" t="s">
        <v>91</v>
      </c>
      <c r="AD364" s="9">
        <v>0.21</v>
      </c>
      <c r="AE364" s="10" t="s">
        <v>53</v>
      </c>
      <c r="AF364" s="7"/>
      <c r="AG364" s="2"/>
      <c r="AH364" s="2"/>
      <c r="AI364" s="2" t="s">
        <v>40</v>
      </c>
      <c r="AJ364" s="2"/>
      <c r="AK364" s="2"/>
      <c r="AL364" s="1" t="str">
        <f t="shared" si="6"/>
        <v>"Maak je keuze","","","86000000","","unspsc","M","","","","","","","A010","","86","","True",""</v>
      </c>
    </row>
    <row r="365" spans="1:38" x14ac:dyDescent="0.25">
      <c r="A365" s="1">
        <v>100</v>
      </c>
      <c r="C365" s="1" t="s">
        <v>62</v>
      </c>
      <c r="F365" s="1">
        <v>12</v>
      </c>
      <c r="G365" s="1" t="s">
        <v>277</v>
      </c>
      <c r="H365" s="8">
        <v>17</v>
      </c>
      <c r="J365" s="1" t="s">
        <v>41</v>
      </c>
      <c r="K365" s="1" t="s">
        <v>288</v>
      </c>
      <c r="O365" s="11">
        <v>86000000</v>
      </c>
      <c r="Q365" s="1" t="s">
        <v>35</v>
      </c>
      <c r="R365" s="1" t="s">
        <v>36</v>
      </c>
      <c r="W365" s="1" t="s">
        <v>42</v>
      </c>
      <c r="Y365" s="1" t="s">
        <v>37</v>
      </c>
      <c r="AA365" s="12">
        <v>86</v>
      </c>
      <c r="AB365" s="1" t="s">
        <v>287</v>
      </c>
      <c r="AC365" s="12" t="s">
        <v>91</v>
      </c>
      <c r="AD365" s="13">
        <v>0.21</v>
      </c>
      <c r="AE365" s="14" t="s">
        <v>53</v>
      </c>
      <c r="AF365" s="15"/>
      <c r="AG365" s="1">
        <v>6130000600</v>
      </c>
      <c r="AH365" s="1" t="s">
        <v>287</v>
      </c>
      <c r="AI365" s="1" t="s">
        <v>44</v>
      </c>
      <c r="AL365" s="1" t="str">
        <f t="shared" si="6"/>
        <v>"Operationele werking","","","86000000","","unspsc","M","","","","","K","","A010","","86","6130000600","False",""</v>
      </c>
    </row>
    <row r="366" spans="1:38" x14ac:dyDescent="0.25">
      <c r="A366" s="1">
        <v>100</v>
      </c>
      <c r="C366" s="1" t="s">
        <v>62</v>
      </c>
      <c r="F366" s="1">
        <v>12</v>
      </c>
      <c r="G366" s="1" t="s">
        <v>277</v>
      </c>
      <c r="H366" s="8">
        <v>8</v>
      </c>
      <c r="J366" s="1" t="s">
        <v>263</v>
      </c>
      <c r="K366" s="1" t="s">
        <v>288</v>
      </c>
      <c r="O366" s="11">
        <v>86000000</v>
      </c>
      <c r="Q366" s="1" t="s">
        <v>35</v>
      </c>
      <c r="R366" s="1" t="s">
        <v>36</v>
      </c>
      <c r="W366" s="1" t="s">
        <v>42</v>
      </c>
      <c r="Y366" s="1" t="s">
        <v>37</v>
      </c>
      <c r="AA366" s="12">
        <v>86</v>
      </c>
      <c r="AB366" s="1" t="s">
        <v>287</v>
      </c>
      <c r="AC366" s="12" t="s">
        <v>91</v>
      </c>
      <c r="AD366" s="13">
        <v>0.21</v>
      </c>
      <c r="AE366" s="14" t="s">
        <v>53</v>
      </c>
      <c r="AF366" s="15"/>
      <c r="AG366" s="11">
        <v>6130009000</v>
      </c>
      <c r="AH366" s="76" t="s">
        <v>289</v>
      </c>
      <c r="AI366" s="1" t="s">
        <v>44</v>
      </c>
      <c r="AL366" s="1" t="str">
        <f t="shared" si="6"/>
        <v>"Projectwerking","","","86000000","","unspsc","M","","","","","K","","A010","","86","6130009000","False",""</v>
      </c>
    </row>
    <row r="367" spans="1:38" x14ac:dyDescent="0.25">
      <c r="A367" s="1">
        <v>100</v>
      </c>
      <c r="B367" s="2"/>
      <c r="C367" s="1" t="s">
        <v>31</v>
      </c>
      <c r="F367" s="2">
        <v>1</v>
      </c>
      <c r="G367" s="2" t="s">
        <v>156</v>
      </c>
      <c r="J367" s="2" t="s">
        <v>33</v>
      </c>
      <c r="K367" s="2" t="s">
        <v>165</v>
      </c>
      <c r="O367" s="3">
        <v>90000000</v>
      </c>
      <c r="Q367" s="1" t="s">
        <v>35</v>
      </c>
      <c r="R367" s="1" t="s">
        <v>36</v>
      </c>
      <c r="Y367" s="1" t="s">
        <v>37</v>
      </c>
      <c r="Z367" s="2"/>
      <c r="AA367" s="4">
        <v>9010</v>
      </c>
      <c r="AB367" s="2" t="s">
        <v>290</v>
      </c>
      <c r="AC367" s="5" t="s">
        <v>138</v>
      </c>
      <c r="AD367" s="9">
        <v>0.06</v>
      </c>
      <c r="AE367" s="10" t="s">
        <v>53</v>
      </c>
      <c r="AF367" s="7"/>
      <c r="AG367" s="2"/>
      <c r="AH367" s="2"/>
      <c r="AI367" s="2" t="s">
        <v>40</v>
      </c>
      <c r="AJ367" s="2"/>
      <c r="AK367" s="2"/>
      <c r="AL367" s="1" t="str">
        <f t="shared" si="6"/>
        <v>"Maak je keuze","","","90000000","","unspsc","M","","","","","","","A010","","9010","","True",""</v>
      </c>
    </row>
    <row r="368" spans="1:38" x14ac:dyDescent="0.25">
      <c r="A368" s="1">
        <v>100</v>
      </c>
      <c r="C368" s="1" t="s">
        <v>31</v>
      </c>
      <c r="F368" s="1">
        <v>1</v>
      </c>
      <c r="G368" s="1" t="s">
        <v>156</v>
      </c>
      <c r="H368" s="8">
        <v>4</v>
      </c>
      <c r="J368" s="1" t="s">
        <v>159</v>
      </c>
      <c r="K368" s="1" t="s">
        <v>165</v>
      </c>
      <c r="O368" s="11">
        <v>90000000</v>
      </c>
      <c r="Q368" s="1" t="s">
        <v>35</v>
      </c>
      <c r="R368" s="1" t="s">
        <v>36</v>
      </c>
      <c r="W368" s="1" t="s">
        <v>42</v>
      </c>
      <c r="Y368" s="1" t="s">
        <v>37</v>
      </c>
      <c r="AA368" s="12">
        <v>9010</v>
      </c>
      <c r="AB368" s="1" t="s">
        <v>290</v>
      </c>
      <c r="AC368" s="12" t="s">
        <v>138</v>
      </c>
      <c r="AD368" s="13">
        <v>0.06</v>
      </c>
      <c r="AE368" s="14" t="s">
        <v>53</v>
      </c>
      <c r="AF368" s="15"/>
      <c r="AG368" s="1">
        <v>6151000400</v>
      </c>
      <c r="AH368" s="1" t="s">
        <v>160</v>
      </c>
      <c r="AI368" s="1" t="s">
        <v>44</v>
      </c>
      <c r="AL368" s="1" t="str">
        <f t="shared" si="6"/>
        <v>"Evenementen (bv infodagen &amp; personeelsfeest)","","","90000000","","unspsc","M","","","","","K","","A010","","9010","6151000400","False",""</v>
      </c>
    </row>
    <row r="369" spans="1:38" x14ac:dyDescent="0.25">
      <c r="A369" s="1">
        <v>100</v>
      </c>
      <c r="C369" s="1" t="s">
        <v>31</v>
      </c>
      <c r="F369" s="1">
        <v>1</v>
      </c>
      <c r="G369" s="1" t="s">
        <v>156</v>
      </c>
      <c r="H369" s="8">
        <v>5</v>
      </c>
      <c r="J369" s="1" t="s">
        <v>161</v>
      </c>
      <c r="K369" s="1" t="s">
        <v>165</v>
      </c>
      <c r="O369" s="11">
        <v>90000000</v>
      </c>
      <c r="Q369" s="1" t="s">
        <v>35</v>
      </c>
      <c r="R369" s="1" t="s">
        <v>36</v>
      </c>
      <c r="W369" s="1" t="s">
        <v>42</v>
      </c>
      <c r="Y369" s="1" t="s">
        <v>37</v>
      </c>
      <c r="AA369" s="12">
        <v>9010</v>
      </c>
      <c r="AB369" s="1" t="s">
        <v>290</v>
      </c>
      <c r="AC369" s="12" t="s">
        <v>138</v>
      </c>
      <c r="AD369" s="13">
        <v>0.06</v>
      </c>
      <c r="AE369" s="14" t="s">
        <v>53</v>
      </c>
      <c r="AF369" s="15"/>
      <c r="AG369" s="1">
        <v>6152000300</v>
      </c>
      <c r="AH369" s="1" t="s">
        <v>43</v>
      </c>
      <c r="AI369" s="1" t="s">
        <v>44</v>
      </c>
      <c r="AL369" s="1" t="str">
        <f t="shared" si="6"/>
        <v>"Recepties &amp; vergaderingen personeel / leerlingen","","","90000000","","unspsc","M","","","","","K","","A010","","9010","6152000300","False",""</v>
      </c>
    </row>
    <row r="370" spans="1:38" x14ac:dyDescent="0.25">
      <c r="A370" s="1">
        <v>100</v>
      </c>
      <c r="B370" s="2"/>
      <c r="C370" s="1" t="s">
        <v>62</v>
      </c>
      <c r="F370" s="2">
        <v>1</v>
      </c>
      <c r="G370" s="2" t="s">
        <v>156</v>
      </c>
      <c r="J370" s="2" t="s">
        <v>33</v>
      </c>
      <c r="K370" s="2" t="s">
        <v>291</v>
      </c>
      <c r="O370" s="3">
        <v>90000000</v>
      </c>
      <c r="Q370" s="1" t="s">
        <v>35</v>
      </c>
      <c r="R370" s="1" t="s">
        <v>36</v>
      </c>
      <c r="Y370" s="1" t="s">
        <v>37</v>
      </c>
      <c r="Z370" s="2"/>
      <c r="AA370" s="4">
        <v>90101501</v>
      </c>
      <c r="AB370" s="2" t="s">
        <v>292</v>
      </c>
      <c r="AC370" s="5" t="s">
        <v>91</v>
      </c>
      <c r="AD370" s="9">
        <v>0.21</v>
      </c>
      <c r="AE370" s="10" t="s">
        <v>53</v>
      </c>
      <c r="AF370" s="7"/>
      <c r="AG370" s="2"/>
      <c r="AH370" s="2"/>
      <c r="AI370" s="2" t="s">
        <v>40</v>
      </c>
      <c r="AJ370" s="2"/>
      <c r="AK370" s="2"/>
      <c r="AL370" s="1" t="str">
        <f t="shared" si="6"/>
        <v>"Maak je keuze","","","90000000","","unspsc","M","","","","","","","A010","","90101501","","True",""</v>
      </c>
    </row>
    <row r="371" spans="1:38" x14ac:dyDescent="0.25">
      <c r="A371" s="1">
        <v>100</v>
      </c>
      <c r="C371" s="1" t="s">
        <v>62</v>
      </c>
      <c r="F371" s="1">
        <v>1</v>
      </c>
      <c r="G371" s="1" t="s">
        <v>156</v>
      </c>
      <c r="H371" s="8">
        <v>1</v>
      </c>
      <c r="J371" s="1" t="s">
        <v>170</v>
      </c>
      <c r="K371" s="1" t="s">
        <v>291</v>
      </c>
      <c r="O371" s="11">
        <v>90000000</v>
      </c>
      <c r="Q371" s="1" t="s">
        <v>35</v>
      </c>
      <c r="R371" s="1" t="s">
        <v>36</v>
      </c>
      <c r="W371" s="1" t="s">
        <v>42</v>
      </c>
      <c r="Y371" s="1" t="s">
        <v>37</v>
      </c>
      <c r="AA371" s="12">
        <v>90101501</v>
      </c>
      <c r="AB371" s="1" t="s">
        <v>292</v>
      </c>
      <c r="AC371" s="12" t="s">
        <v>91</v>
      </c>
      <c r="AD371" s="13">
        <v>0.21</v>
      </c>
      <c r="AE371" s="14" t="s">
        <v>53</v>
      </c>
      <c r="AF371" s="15"/>
      <c r="AG371" s="1">
        <v>6152000300</v>
      </c>
      <c r="AH371" s="1" t="s">
        <v>43</v>
      </c>
      <c r="AI371" s="1" t="s">
        <v>44</v>
      </c>
      <c r="AL371" s="1" t="str">
        <f t="shared" si="6"/>
        <v>"(Verbruik) Personeel / leerlingen","","","90000000","","unspsc","M","","","","","K","","A010","","90101501","6152000300","False",""</v>
      </c>
    </row>
    <row r="372" spans="1:38" x14ac:dyDescent="0.25">
      <c r="A372" s="1">
        <v>100</v>
      </c>
      <c r="C372" s="1" t="s">
        <v>62</v>
      </c>
      <c r="F372" s="1">
        <v>1</v>
      </c>
      <c r="G372" s="1" t="s">
        <v>156</v>
      </c>
      <c r="H372" s="8">
        <v>5</v>
      </c>
      <c r="J372" s="1" t="s">
        <v>161</v>
      </c>
      <c r="K372" s="1" t="s">
        <v>291</v>
      </c>
      <c r="O372" s="11">
        <v>90000000</v>
      </c>
      <c r="Q372" s="1" t="s">
        <v>35</v>
      </c>
      <c r="R372" s="1" t="s">
        <v>36</v>
      </c>
      <c r="W372" s="1" t="s">
        <v>42</v>
      </c>
      <c r="Y372" s="1" t="s">
        <v>37</v>
      </c>
      <c r="AA372" s="12">
        <v>90101501</v>
      </c>
      <c r="AB372" s="1" t="s">
        <v>292</v>
      </c>
      <c r="AC372" s="12" t="s">
        <v>91</v>
      </c>
      <c r="AD372" s="13">
        <v>0.21</v>
      </c>
      <c r="AE372" s="14" t="s">
        <v>53</v>
      </c>
      <c r="AF372" s="15"/>
      <c r="AG372" s="1">
        <v>6151000400</v>
      </c>
      <c r="AH372" s="1" t="s">
        <v>160</v>
      </c>
      <c r="AI372" s="1" t="s">
        <v>44</v>
      </c>
      <c r="AL372" s="1" t="str">
        <f t="shared" si="6"/>
        <v>"Recepties &amp; vergaderingen personeel / leerlingen","","","90000000","","unspsc","M","","","","","K","","A010","","90101501","6151000400","False",""</v>
      </c>
    </row>
    <row r="373" spans="1:38" x14ac:dyDescent="0.25">
      <c r="A373" s="1">
        <v>100</v>
      </c>
      <c r="C373" s="1" t="s">
        <v>62</v>
      </c>
      <c r="F373" s="1">
        <v>1</v>
      </c>
      <c r="G373" s="1" t="s">
        <v>156</v>
      </c>
      <c r="H373" s="8">
        <v>10</v>
      </c>
      <c r="J373" s="1" t="s">
        <v>46</v>
      </c>
      <c r="K373" s="1" t="s">
        <v>291</v>
      </c>
      <c r="O373" s="11">
        <v>90000000</v>
      </c>
      <c r="Q373" s="1" t="s">
        <v>35</v>
      </c>
      <c r="R373" s="1" t="s">
        <v>36</v>
      </c>
      <c r="W373" s="1" t="s">
        <v>42</v>
      </c>
      <c r="Y373" s="1" t="s">
        <v>37</v>
      </c>
      <c r="AA373" s="12">
        <v>90101501</v>
      </c>
      <c r="AB373" s="1" t="s">
        <v>292</v>
      </c>
      <c r="AC373" s="12" t="s">
        <v>91</v>
      </c>
      <c r="AD373" s="13">
        <v>0.21</v>
      </c>
      <c r="AE373" s="14" t="s">
        <v>53</v>
      </c>
      <c r="AF373" s="15"/>
      <c r="AG373" s="1">
        <v>6146000400</v>
      </c>
      <c r="AH373" s="1" t="s">
        <v>47</v>
      </c>
      <c r="AI373" s="1" t="s">
        <v>44</v>
      </c>
      <c r="AL373" s="1" t="str">
        <f t="shared" si="6"/>
        <v>"Representatie externen","","","90000000","","unspsc","M","","","","","K","","A010","","90101501","6146000400","False",""</v>
      </c>
    </row>
    <row r="374" spans="1:38" x14ac:dyDescent="0.25">
      <c r="A374" s="1">
        <v>100</v>
      </c>
      <c r="B374" s="2"/>
      <c r="C374" s="1" t="s">
        <v>62</v>
      </c>
      <c r="F374" s="2">
        <v>1</v>
      </c>
      <c r="G374" s="2" t="s">
        <v>156</v>
      </c>
      <c r="J374" s="2" t="s">
        <v>33</v>
      </c>
      <c r="K374" s="2" t="s">
        <v>291</v>
      </c>
      <c r="O374" s="3">
        <v>90000000</v>
      </c>
      <c r="Q374" s="1" t="s">
        <v>35</v>
      </c>
      <c r="R374" s="1" t="s">
        <v>36</v>
      </c>
      <c r="Y374" s="1" t="s">
        <v>37</v>
      </c>
      <c r="Z374" s="2"/>
      <c r="AA374" s="4" t="s">
        <v>293</v>
      </c>
      <c r="AB374" s="2" t="s">
        <v>294</v>
      </c>
      <c r="AC374" s="5" t="s">
        <v>52</v>
      </c>
      <c r="AD374" s="9">
        <v>0</v>
      </c>
      <c r="AE374" s="10" t="s">
        <v>53</v>
      </c>
      <c r="AF374" s="7"/>
      <c r="AG374" s="2"/>
      <c r="AH374" s="2"/>
      <c r="AI374" s="2" t="s">
        <v>40</v>
      </c>
      <c r="AJ374" s="2"/>
      <c r="AK374" s="2"/>
      <c r="AL374" s="1" t="str">
        <f t="shared" si="6"/>
        <v>"Maak je keuze","","","90000000","","unspsc","M","","","","","","","A010","","901015X","","True",""</v>
      </c>
    </row>
    <row r="375" spans="1:38" x14ac:dyDescent="0.25">
      <c r="A375" s="1">
        <v>100</v>
      </c>
      <c r="C375" s="1" t="s">
        <v>62</v>
      </c>
      <c r="F375" s="1">
        <v>1</v>
      </c>
      <c r="G375" s="1" t="s">
        <v>156</v>
      </c>
      <c r="H375" s="8">
        <v>1</v>
      </c>
      <c r="J375" s="1" t="s">
        <v>170</v>
      </c>
      <c r="K375" s="1" t="s">
        <v>291</v>
      </c>
      <c r="O375" s="11">
        <v>90000000</v>
      </c>
      <c r="Q375" s="1" t="s">
        <v>35</v>
      </c>
      <c r="R375" s="1" t="s">
        <v>36</v>
      </c>
      <c r="W375" s="1" t="s">
        <v>42</v>
      </c>
      <c r="Y375" s="1" t="s">
        <v>37</v>
      </c>
      <c r="AA375" s="12" t="s">
        <v>293</v>
      </c>
      <c r="AB375" s="1" t="s">
        <v>294</v>
      </c>
      <c r="AC375" s="12" t="s">
        <v>52</v>
      </c>
      <c r="AD375" s="13">
        <v>0</v>
      </c>
      <c r="AE375" s="14" t="s">
        <v>53</v>
      </c>
      <c r="AF375" s="15"/>
      <c r="AG375" s="1">
        <v>6152000300</v>
      </c>
      <c r="AH375" s="1" t="s">
        <v>43</v>
      </c>
      <c r="AI375" s="1" t="s">
        <v>44</v>
      </c>
      <c r="AL375" s="1" t="str">
        <f t="shared" si="6"/>
        <v>"(Verbruik) Personeel / leerlingen","","","90000000","","unspsc","M","","","","","K","","A010","","901015X","6152000300","False",""</v>
      </c>
    </row>
    <row r="376" spans="1:38" x14ac:dyDescent="0.25">
      <c r="A376" s="1">
        <v>100</v>
      </c>
      <c r="C376" s="1" t="s">
        <v>62</v>
      </c>
      <c r="F376" s="1">
        <v>1</v>
      </c>
      <c r="G376" s="1" t="s">
        <v>156</v>
      </c>
      <c r="H376" s="8">
        <v>5</v>
      </c>
      <c r="J376" s="1" t="s">
        <v>161</v>
      </c>
      <c r="K376" s="1" t="s">
        <v>291</v>
      </c>
      <c r="O376" s="11">
        <v>90000000</v>
      </c>
      <c r="Q376" s="1" t="s">
        <v>35</v>
      </c>
      <c r="R376" s="1" t="s">
        <v>36</v>
      </c>
      <c r="W376" s="1" t="s">
        <v>42</v>
      </c>
      <c r="Y376" s="1" t="s">
        <v>37</v>
      </c>
      <c r="AA376" s="12" t="s">
        <v>293</v>
      </c>
      <c r="AB376" s="1" t="s">
        <v>294</v>
      </c>
      <c r="AC376" s="12" t="s">
        <v>52</v>
      </c>
      <c r="AD376" s="13">
        <v>0</v>
      </c>
      <c r="AE376" s="14" t="s">
        <v>53</v>
      </c>
      <c r="AF376" s="15"/>
      <c r="AG376" s="1">
        <v>6151000400</v>
      </c>
      <c r="AH376" s="1" t="s">
        <v>160</v>
      </c>
      <c r="AI376" s="1" t="s">
        <v>44</v>
      </c>
      <c r="AL376" s="1" t="str">
        <f t="shared" si="6"/>
        <v>"Recepties &amp; vergaderingen personeel / leerlingen","","","90000000","","unspsc","M","","","","","K","","A010","","901015X","6151000400","False",""</v>
      </c>
    </row>
    <row r="377" spans="1:38" x14ac:dyDescent="0.25">
      <c r="A377" s="1">
        <v>100</v>
      </c>
      <c r="C377" s="1" t="s">
        <v>62</v>
      </c>
      <c r="F377" s="1">
        <v>1</v>
      </c>
      <c r="G377" s="1" t="s">
        <v>156</v>
      </c>
      <c r="H377" s="8">
        <v>10</v>
      </c>
      <c r="J377" s="1" t="s">
        <v>46</v>
      </c>
      <c r="K377" s="1" t="s">
        <v>291</v>
      </c>
      <c r="O377" s="11">
        <v>90000000</v>
      </c>
      <c r="Q377" s="1" t="s">
        <v>35</v>
      </c>
      <c r="R377" s="1" t="s">
        <v>36</v>
      </c>
      <c r="W377" s="1" t="s">
        <v>42</v>
      </c>
      <c r="Y377" s="1" t="s">
        <v>37</v>
      </c>
      <c r="AA377" s="12" t="s">
        <v>293</v>
      </c>
      <c r="AB377" s="1" t="s">
        <v>294</v>
      </c>
      <c r="AC377" s="12" t="s">
        <v>52</v>
      </c>
      <c r="AD377" s="13">
        <v>0</v>
      </c>
      <c r="AE377" s="14" t="s">
        <v>53</v>
      </c>
      <c r="AF377" s="15"/>
      <c r="AG377" s="1">
        <v>6146000400</v>
      </c>
      <c r="AH377" s="1" t="s">
        <v>47</v>
      </c>
      <c r="AI377" s="1" t="s">
        <v>44</v>
      </c>
      <c r="AL377" s="1" t="str">
        <f t="shared" si="6"/>
        <v>"Representatie externen","","","90000000","","unspsc","M","","","","","K","","A010","","901015X","6146000400","False",""</v>
      </c>
    </row>
    <row r="378" spans="1:38" x14ac:dyDescent="0.25">
      <c r="A378" s="1">
        <v>100</v>
      </c>
      <c r="B378" s="2"/>
      <c r="C378" s="1" t="s">
        <v>62</v>
      </c>
      <c r="D378" s="1" t="s">
        <v>295</v>
      </c>
      <c r="E378" s="1" t="s">
        <v>237</v>
      </c>
      <c r="F378" s="2">
        <v>11</v>
      </c>
      <c r="G378" s="2" t="s">
        <v>238</v>
      </c>
      <c r="J378" s="2" t="s">
        <v>33</v>
      </c>
      <c r="K378" s="2" t="s">
        <v>242</v>
      </c>
      <c r="O378" s="3">
        <v>90000000</v>
      </c>
      <c r="Q378" s="1" t="s">
        <v>35</v>
      </c>
      <c r="R378" s="1" t="s">
        <v>36</v>
      </c>
      <c r="Y378" s="1" t="s">
        <v>37</v>
      </c>
      <c r="Z378" s="2"/>
      <c r="AA378" s="4" t="s">
        <v>296</v>
      </c>
      <c r="AB378" s="2" t="s">
        <v>297</v>
      </c>
      <c r="AC378" s="5" t="s">
        <v>91</v>
      </c>
      <c r="AD378" s="9">
        <v>0.21</v>
      </c>
      <c r="AE378" s="10" t="s">
        <v>53</v>
      </c>
      <c r="AF378" s="7"/>
      <c r="AG378" s="2"/>
      <c r="AH378" s="2"/>
      <c r="AI378" s="2" t="s">
        <v>40</v>
      </c>
      <c r="AJ378" s="2"/>
      <c r="AK378" s="2"/>
      <c r="AL378" s="1" t="str">
        <f t="shared" si="6"/>
        <v>"Maak je keuze","","","90000000","","unspsc","M","","","","","","","A010","","9015B","","True",""</v>
      </c>
    </row>
    <row r="379" spans="1:38" x14ac:dyDescent="0.25">
      <c r="A379" s="1">
        <v>100</v>
      </c>
      <c r="C379" s="1" t="s">
        <v>62</v>
      </c>
      <c r="D379" s="1" t="s">
        <v>295</v>
      </c>
      <c r="E379" s="1" t="s">
        <v>237</v>
      </c>
      <c r="F379" s="1">
        <v>11</v>
      </c>
      <c r="G379" s="1" t="s">
        <v>238</v>
      </c>
      <c r="H379" s="8">
        <v>1</v>
      </c>
      <c r="J379" s="1" t="s">
        <v>170</v>
      </c>
      <c r="K379" s="1" t="s">
        <v>242</v>
      </c>
      <c r="O379" s="11">
        <v>90000000</v>
      </c>
      <c r="Q379" s="1" t="s">
        <v>35</v>
      </c>
      <c r="R379" s="1" t="s">
        <v>36</v>
      </c>
      <c r="W379" s="1" t="s">
        <v>42</v>
      </c>
      <c r="Y379" s="1" t="s">
        <v>37</v>
      </c>
      <c r="AA379" s="12" t="s">
        <v>296</v>
      </c>
      <c r="AB379" s="1" t="s">
        <v>297</v>
      </c>
      <c r="AC379" s="12" t="s">
        <v>91</v>
      </c>
      <c r="AD379" s="13">
        <v>0.21</v>
      </c>
      <c r="AE379" s="14" t="s">
        <v>53</v>
      </c>
      <c r="AF379" s="15"/>
      <c r="AG379" s="1">
        <v>6161000100</v>
      </c>
      <c r="AH379" s="1" t="s">
        <v>246</v>
      </c>
      <c r="AI379" s="1" t="s">
        <v>44</v>
      </c>
      <c r="AL379" s="1" t="str">
        <f t="shared" si="6"/>
        <v>"(Verbruik) Personeel / leerlingen","","","90000000","","unspsc","M","","","","","K","","A010","","9015B","6161000100","False",""</v>
      </c>
    </row>
    <row r="380" spans="1:38" x14ac:dyDescent="0.25">
      <c r="A380" s="1">
        <v>100</v>
      </c>
      <c r="C380" s="1" t="s">
        <v>62</v>
      </c>
      <c r="E380" s="1" t="s">
        <v>237</v>
      </c>
      <c r="F380" s="1">
        <v>11</v>
      </c>
      <c r="G380" s="1" t="s">
        <v>238</v>
      </c>
      <c r="H380" s="8">
        <v>7</v>
      </c>
      <c r="J380" s="1" t="s">
        <v>119</v>
      </c>
      <c r="K380" s="1" t="s">
        <v>242</v>
      </c>
      <c r="O380" s="11">
        <v>90000000</v>
      </c>
      <c r="Q380" s="1" t="s">
        <v>35</v>
      </c>
      <c r="R380" s="1" t="s">
        <v>36</v>
      </c>
      <c r="W380" s="1" t="s">
        <v>42</v>
      </c>
      <c r="Y380" s="1" t="s">
        <v>37</v>
      </c>
      <c r="AA380" s="12" t="s">
        <v>296</v>
      </c>
      <c r="AB380" s="1" t="s">
        <v>297</v>
      </c>
      <c r="AC380" s="12" t="s">
        <v>91</v>
      </c>
      <c r="AD380" s="13">
        <v>0.21</v>
      </c>
      <c r="AE380" s="14" t="s">
        <v>53</v>
      </c>
      <c r="AF380" s="15"/>
      <c r="AG380" s="1">
        <v>6030000100</v>
      </c>
      <c r="AH380" s="1" t="s">
        <v>120</v>
      </c>
      <c r="AI380" s="1" t="s">
        <v>44</v>
      </c>
      <c r="AL380" s="1" t="str">
        <f t="shared" si="6"/>
        <v>"Maximumfactuur","","","90000000","","unspsc","M","","","","","K","","A010","","9015B","6030000100","False",""</v>
      </c>
    </row>
    <row r="381" spans="1:38" x14ac:dyDescent="0.25">
      <c r="A381" s="1">
        <v>100</v>
      </c>
      <c r="C381" s="1" t="s">
        <v>62</v>
      </c>
      <c r="D381" s="1" t="s">
        <v>295</v>
      </c>
      <c r="E381" s="1" t="s">
        <v>237</v>
      </c>
      <c r="F381" s="1">
        <v>11</v>
      </c>
      <c r="G381" s="1" t="s">
        <v>238</v>
      </c>
      <c r="H381" s="8">
        <v>6</v>
      </c>
      <c r="J381" s="1" t="s">
        <v>108</v>
      </c>
      <c r="K381" s="1" t="s">
        <v>242</v>
      </c>
      <c r="O381" s="11">
        <v>90000000</v>
      </c>
      <c r="Q381" s="1" t="s">
        <v>35</v>
      </c>
      <c r="R381" s="1" t="s">
        <v>36</v>
      </c>
      <c r="W381" s="1" t="s">
        <v>42</v>
      </c>
      <c r="Y381" s="1" t="s">
        <v>37</v>
      </c>
      <c r="AA381" s="12" t="s">
        <v>296</v>
      </c>
      <c r="AB381" s="1" t="s">
        <v>297</v>
      </c>
      <c r="AC381" s="12" t="s">
        <v>91</v>
      </c>
      <c r="AD381" s="13">
        <v>0.21</v>
      </c>
      <c r="AE381" s="14" t="s">
        <v>53</v>
      </c>
      <c r="AF381" s="15"/>
      <c r="AG381" s="1">
        <v>6030000200</v>
      </c>
      <c r="AH381" s="1" t="s">
        <v>109</v>
      </c>
      <c r="AI381" s="1" t="s">
        <v>44</v>
      </c>
      <c r="AL381" s="1" t="str">
        <f t="shared" si="6"/>
        <v>"Doorverkoop onderwijs (niet max fac)","","","90000000","","unspsc","M","","","","","K","","A010","","9015B","6030000200","False",""</v>
      </c>
    </row>
    <row r="382" spans="1:38" x14ac:dyDescent="0.25">
      <c r="A382" s="1">
        <v>100</v>
      </c>
      <c r="B382" s="2"/>
      <c r="C382" s="1" t="s">
        <v>62</v>
      </c>
      <c r="D382" s="1" t="s">
        <v>295</v>
      </c>
      <c r="E382" s="1" t="s">
        <v>237</v>
      </c>
      <c r="F382" s="2">
        <v>11</v>
      </c>
      <c r="G382" s="2" t="s">
        <v>238</v>
      </c>
      <c r="J382" s="2" t="s">
        <v>33</v>
      </c>
      <c r="K382" s="2" t="s">
        <v>242</v>
      </c>
      <c r="O382" s="3">
        <v>90000000</v>
      </c>
      <c r="Q382" s="1" t="s">
        <v>35</v>
      </c>
      <c r="R382" s="1" t="s">
        <v>36</v>
      </c>
      <c r="Y382" s="1" t="s">
        <v>37</v>
      </c>
      <c r="Z382" s="2"/>
      <c r="AA382" s="4" t="s">
        <v>298</v>
      </c>
      <c r="AB382" s="2" t="s">
        <v>299</v>
      </c>
      <c r="AC382" s="5" t="s">
        <v>52</v>
      </c>
      <c r="AD382" s="9">
        <v>0</v>
      </c>
      <c r="AE382" s="10" t="s">
        <v>53</v>
      </c>
      <c r="AF382" s="7"/>
      <c r="AG382" s="2"/>
      <c r="AH382" s="2"/>
      <c r="AI382" s="2" t="s">
        <v>40</v>
      </c>
      <c r="AJ382" s="2"/>
      <c r="AK382" s="2"/>
      <c r="AL382" s="1" t="str">
        <f t="shared" si="6"/>
        <v>"Maak je keuze","","","90000000","","unspsc","M","","","","","","","A010","","9015D","","True",""</v>
      </c>
    </row>
    <row r="383" spans="1:38" x14ac:dyDescent="0.25">
      <c r="A383" s="1">
        <v>100</v>
      </c>
      <c r="C383" s="1" t="s">
        <v>62</v>
      </c>
      <c r="D383" s="1" t="s">
        <v>295</v>
      </c>
      <c r="E383" s="1" t="s">
        <v>237</v>
      </c>
      <c r="F383" s="1">
        <v>11</v>
      </c>
      <c r="G383" s="1" t="s">
        <v>238</v>
      </c>
      <c r="H383" s="8">
        <v>1</v>
      </c>
      <c r="J383" s="1" t="s">
        <v>170</v>
      </c>
      <c r="K383" s="1" t="s">
        <v>242</v>
      </c>
      <c r="O383" s="11">
        <v>90000000</v>
      </c>
      <c r="Q383" s="1" t="s">
        <v>35</v>
      </c>
      <c r="R383" s="1" t="s">
        <v>36</v>
      </c>
      <c r="W383" s="1" t="s">
        <v>42</v>
      </c>
      <c r="Y383" s="1" t="s">
        <v>37</v>
      </c>
      <c r="AA383" s="12" t="s">
        <v>298</v>
      </c>
      <c r="AB383" s="1" t="s">
        <v>299</v>
      </c>
      <c r="AC383" s="12" t="s">
        <v>52</v>
      </c>
      <c r="AD383" s="13">
        <v>0</v>
      </c>
      <c r="AE383" s="14" t="s">
        <v>53</v>
      </c>
      <c r="AF383" s="15"/>
      <c r="AG383" s="1">
        <v>6161000100</v>
      </c>
      <c r="AH383" s="1" t="s">
        <v>246</v>
      </c>
      <c r="AI383" s="1" t="s">
        <v>44</v>
      </c>
      <c r="AL383" s="1" t="str">
        <f t="shared" si="6"/>
        <v>"(Verbruik) Personeel / leerlingen","","","90000000","","unspsc","M","","","","","K","","A010","","9015D","6161000100","False",""</v>
      </c>
    </row>
    <row r="384" spans="1:38" x14ac:dyDescent="0.25">
      <c r="A384" s="1">
        <v>100</v>
      </c>
      <c r="B384" s="1" t="s">
        <v>247</v>
      </c>
      <c r="C384" s="1" t="s">
        <v>62</v>
      </c>
      <c r="D384" s="1" t="s">
        <v>295</v>
      </c>
      <c r="E384" s="1" t="s">
        <v>237</v>
      </c>
      <c r="F384" s="1">
        <v>11</v>
      </c>
      <c r="G384" s="1" t="s">
        <v>238</v>
      </c>
      <c r="H384" s="8">
        <v>6</v>
      </c>
      <c r="J384" s="1" t="s">
        <v>108</v>
      </c>
      <c r="K384" s="1" t="s">
        <v>242</v>
      </c>
      <c r="O384" s="11">
        <v>90000000</v>
      </c>
      <c r="Q384" s="1" t="s">
        <v>35</v>
      </c>
      <c r="R384" s="1" t="s">
        <v>36</v>
      </c>
      <c r="W384" s="1" t="s">
        <v>42</v>
      </c>
      <c r="Y384" s="1" t="s">
        <v>37</v>
      </c>
      <c r="AA384" s="12" t="s">
        <v>298</v>
      </c>
      <c r="AB384" s="1" t="s">
        <v>299</v>
      </c>
      <c r="AC384" s="12" t="s">
        <v>52</v>
      </c>
      <c r="AD384" s="13">
        <v>0</v>
      </c>
      <c r="AE384" s="14" t="s">
        <v>53</v>
      </c>
      <c r="AF384" s="15"/>
      <c r="AG384" s="1">
        <v>6030000200</v>
      </c>
      <c r="AH384" s="1" t="s">
        <v>109</v>
      </c>
      <c r="AI384" s="1" t="s">
        <v>44</v>
      </c>
      <c r="AL384" s="1" t="str">
        <f t="shared" si="6"/>
        <v>"Doorverkoop onderwijs (niet max fac)","","","90000000","","unspsc","M","","","","","K","","A010","","9015D","6030000200","False",""</v>
      </c>
    </row>
    <row r="385" spans="1:38" x14ac:dyDescent="0.25">
      <c r="A385" s="1">
        <v>100</v>
      </c>
      <c r="B385" s="2"/>
      <c r="C385" s="1" t="s">
        <v>62</v>
      </c>
      <c r="E385" s="1" t="s">
        <v>237</v>
      </c>
      <c r="F385" s="2">
        <v>11</v>
      </c>
      <c r="G385" s="2" t="s">
        <v>238</v>
      </c>
      <c r="J385" s="2" t="s">
        <v>33</v>
      </c>
      <c r="K385" s="2" t="s">
        <v>242</v>
      </c>
      <c r="O385" s="3">
        <v>90000000</v>
      </c>
      <c r="Q385" s="1" t="s">
        <v>35</v>
      </c>
      <c r="R385" s="1" t="s">
        <v>36</v>
      </c>
      <c r="Y385" s="1" t="s">
        <v>37</v>
      </c>
      <c r="Z385" s="2"/>
      <c r="AA385" s="4" t="s">
        <v>300</v>
      </c>
      <c r="AB385" s="2" t="s">
        <v>301</v>
      </c>
      <c r="AC385" s="5" t="s">
        <v>138</v>
      </c>
      <c r="AD385" s="9">
        <v>0.06</v>
      </c>
      <c r="AE385" s="10" t="s">
        <v>53</v>
      </c>
      <c r="AF385" s="7"/>
      <c r="AG385" s="2"/>
      <c r="AH385" s="2"/>
      <c r="AI385" s="2" t="s">
        <v>40</v>
      </c>
      <c r="AJ385" s="2"/>
      <c r="AK385" s="2"/>
      <c r="AL385" s="1" t="str">
        <f t="shared" si="6"/>
        <v>"Maak je keuze","","","90000000","","unspsc","M","","","","","","","A010","","9015A","","True",""</v>
      </c>
    </row>
    <row r="386" spans="1:38" x14ac:dyDescent="0.25">
      <c r="A386" s="1">
        <v>100</v>
      </c>
      <c r="C386" s="1" t="s">
        <v>62</v>
      </c>
      <c r="E386" s="1" t="s">
        <v>237</v>
      </c>
      <c r="F386" s="1">
        <v>11</v>
      </c>
      <c r="G386" s="1" t="s">
        <v>238</v>
      </c>
      <c r="H386" s="8">
        <v>1</v>
      </c>
      <c r="J386" s="1" t="s">
        <v>170</v>
      </c>
      <c r="K386" s="1" t="s">
        <v>242</v>
      </c>
      <c r="O386" s="11">
        <v>90000000</v>
      </c>
      <c r="Q386" s="1" t="s">
        <v>35</v>
      </c>
      <c r="R386" s="1" t="s">
        <v>36</v>
      </c>
      <c r="W386" s="1" t="s">
        <v>42</v>
      </c>
      <c r="Y386" s="1" t="s">
        <v>37</v>
      </c>
      <c r="AA386" s="12" t="s">
        <v>300</v>
      </c>
      <c r="AB386" s="1" t="s">
        <v>301</v>
      </c>
      <c r="AC386" s="12" t="s">
        <v>138</v>
      </c>
      <c r="AD386" s="77">
        <v>0.06</v>
      </c>
      <c r="AE386" s="78" t="s">
        <v>53</v>
      </c>
      <c r="AF386" s="79"/>
      <c r="AG386" s="1">
        <v>6161000100</v>
      </c>
      <c r="AH386" s="1" t="s">
        <v>246</v>
      </c>
      <c r="AI386" s="1" t="s">
        <v>44</v>
      </c>
      <c r="AL386" s="1" t="str">
        <f t="shared" si="6"/>
        <v>"(Verbruik) Personeel / leerlingen","","","90000000","","unspsc","M","","","","","K","","A010","","9015A","6161000100","False",""</v>
      </c>
    </row>
    <row r="387" spans="1:38" x14ac:dyDescent="0.25">
      <c r="A387" s="1">
        <v>100</v>
      </c>
      <c r="C387" s="1" t="s">
        <v>62</v>
      </c>
      <c r="E387" s="1" t="s">
        <v>237</v>
      </c>
      <c r="F387" s="1">
        <v>11</v>
      </c>
      <c r="G387" s="1" t="s">
        <v>238</v>
      </c>
      <c r="H387" s="8">
        <v>7</v>
      </c>
      <c r="J387" s="1" t="s">
        <v>119</v>
      </c>
      <c r="K387" s="1" t="s">
        <v>242</v>
      </c>
      <c r="O387" s="11">
        <v>90000000</v>
      </c>
      <c r="Q387" s="1" t="s">
        <v>35</v>
      </c>
      <c r="R387" s="1" t="s">
        <v>36</v>
      </c>
      <c r="W387" s="1" t="s">
        <v>42</v>
      </c>
      <c r="Y387" s="1" t="s">
        <v>37</v>
      </c>
      <c r="AA387" s="12" t="s">
        <v>300</v>
      </c>
      <c r="AB387" s="1" t="s">
        <v>301</v>
      </c>
      <c r="AC387" s="12" t="s">
        <v>138</v>
      </c>
      <c r="AD387" s="13">
        <v>0.06</v>
      </c>
      <c r="AE387" s="14" t="s">
        <v>53</v>
      </c>
      <c r="AF387" s="15"/>
      <c r="AG387" s="1">
        <v>6030000100</v>
      </c>
      <c r="AH387" s="1" t="s">
        <v>120</v>
      </c>
      <c r="AI387" s="1" t="s">
        <v>44</v>
      </c>
      <c r="AL387" s="1" t="str">
        <f t="shared" si="6"/>
        <v>"Maximumfactuur","","","90000000","","unspsc","M","","","","","K","","A010","","9015A","6030000100","False",""</v>
      </c>
    </row>
    <row r="388" spans="1:38" x14ac:dyDescent="0.25">
      <c r="A388" s="1">
        <v>100</v>
      </c>
      <c r="C388" s="1" t="s">
        <v>62</v>
      </c>
      <c r="E388" s="1" t="s">
        <v>237</v>
      </c>
      <c r="F388" s="1">
        <v>11</v>
      </c>
      <c r="G388" s="1" t="s">
        <v>238</v>
      </c>
      <c r="H388" s="8">
        <v>6</v>
      </c>
      <c r="J388" s="1" t="s">
        <v>108</v>
      </c>
      <c r="K388" s="1" t="s">
        <v>242</v>
      </c>
      <c r="O388" s="11">
        <v>90000000</v>
      </c>
      <c r="Q388" s="1" t="s">
        <v>35</v>
      </c>
      <c r="R388" s="1" t="s">
        <v>36</v>
      </c>
      <c r="W388" s="1" t="s">
        <v>42</v>
      </c>
      <c r="Y388" s="1" t="s">
        <v>37</v>
      </c>
      <c r="AA388" s="12" t="s">
        <v>300</v>
      </c>
      <c r="AB388" s="1" t="s">
        <v>301</v>
      </c>
      <c r="AC388" s="12" t="s">
        <v>138</v>
      </c>
      <c r="AD388" s="13">
        <v>0.06</v>
      </c>
      <c r="AE388" s="14" t="s">
        <v>53</v>
      </c>
      <c r="AF388" s="15"/>
      <c r="AG388" s="1">
        <v>6030000200</v>
      </c>
      <c r="AH388" s="1" t="s">
        <v>109</v>
      </c>
      <c r="AI388" s="1" t="s">
        <v>44</v>
      </c>
      <c r="AL388" s="1" t="str">
        <f t="shared" ref="AL388:AL451" si="7">""""&amp;J388&amp;""""&amp;","&amp;""""&amp;L388&amp;""""&amp;","&amp;""""&amp;M388&amp;""""&amp;","&amp;""""&amp;O388&amp;""""&amp;","&amp;""""&amp;P388&amp;""""&amp;","&amp;""""&amp;Q388&amp;""""&amp;","&amp;""""&amp;R388&amp;""""&amp;","&amp;""""&amp;S388&amp;""""&amp;","&amp;""""&amp;T388&amp;""""&amp;","&amp;""""&amp;U388&amp;""""&amp;","&amp;""""&amp;V388&amp;""""&amp;","&amp;""""&amp;W388&amp;""""&amp;","&amp;""""&amp;X388&amp;""""&amp;","&amp;""""&amp;Y388&amp;""""&amp;","&amp;""""&amp;Z388&amp;""""&amp;","&amp;""""&amp;AA388&amp;""""&amp;","&amp;""""&amp;AG388&amp;""""&amp;","&amp;""""&amp;AI388&amp;""""&amp;","&amp;""""&amp;AJ388&amp;""""&amp;""</f>
        <v>"Doorverkoop onderwijs (niet max fac)","","","90000000","","unspsc","M","","","","","K","","A010","","9015A","6030000200","False",""</v>
      </c>
    </row>
    <row r="389" spans="1:38" x14ac:dyDescent="0.25">
      <c r="A389" s="1">
        <v>100</v>
      </c>
      <c r="B389" s="2"/>
      <c r="C389" s="1" t="s">
        <v>62</v>
      </c>
      <c r="E389" s="1" t="s">
        <v>237</v>
      </c>
      <c r="F389" s="2">
        <v>11</v>
      </c>
      <c r="G389" s="2" t="s">
        <v>238</v>
      </c>
      <c r="J389" s="2" t="s">
        <v>33</v>
      </c>
      <c r="K389" s="2" t="s">
        <v>242</v>
      </c>
      <c r="O389" s="3">
        <v>90000000</v>
      </c>
      <c r="Q389" s="1" t="s">
        <v>35</v>
      </c>
      <c r="R389" s="1" t="s">
        <v>36</v>
      </c>
      <c r="Y389" s="1" t="s">
        <v>37</v>
      </c>
      <c r="Z389" s="2"/>
      <c r="AA389" s="4" t="s">
        <v>302</v>
      </c>
      <c r="AB389" s="2" t="s">
        <v>303</v>
      </c>
      <c r="AC389" s="5" t="s">
        <v>52</v>
      </c>
      <c r="AD389" s="9">
        <v>0</v>
      </c>
      <c r="AE389" s="10" t="s">
        <v>53</v>
      </c>
      <c r="AF389" s="7"/>
      <c r="AG389" s="2"/>
      <c r="AH389" s="2"/>
      <c r="AI389" s="2" t="s">
        <v>40</v>
      </c>
      <c r="AJ389" s="2"/>
      <c r="AK389" s="2"/>
      <c r="AL389" s="1" t="str">
        <f t="shared" si="7"/>
        <v>"Maak je keuze","","","90000000","","unspsc","M","","","","","","","A010","","9015C","","True",""</v>
      </c>
    </row>
    <row r="390" spans="1:38" x14ac:dyDescent="0.25">
      <c r="A390" s="1">
        <v>100</v>
      </c>
      <c r="C390" s="1" t="s">
        <v>62</v>
      </c>
      <c r="E390" s="1" t="s">
        <v>237</v>
      </c>
      <c r="F390" s="1">
        <v>11</v>
      </c>
      <c r="G390" s="1" t="s">
        <v>238</v>
      </c>
      <c r="H390" s="8">
        <v>1</v>
      </c>
      <c r="J390" s="1" t="s">
        <v>170</v>
      </c>
      <c r="K390" s="1" t="s">
        <v>242</v>
      </c>
      <c r="O390" s="11">
        <v>90000000</v>
      </c>
      <c r="Q390" s="1" t="s">
        <v>35</v>
      </c>
      <c r="R390" s="1" t="s">
        <v>36</v>
      </c>
      <c r="W390" s="1" t="s">
        <v>42</v>
      </c>
      <c r="Y390" s="1" t="s">
        <v>37</v>
      </c>
      <c r="AA390" s="12" t="s">
        <v>302</v>
      </c>
      <c r="AB390" s="1" t="s">
        <v>303</v>
      </c>
      <c r="AC390" s="12" t="s">
        <v>52</v>
      </c>
      <c r="AD390" s="13">
        <v>0</v>
      </c>
      <c r="AE390" s="14" t="s">
        <v>53</v>
      </c>
      <c r="AF390" s="15"/>
      <c r="AG390" s="1">
        <v>6161000100</v>
      </c>
      <c r="AH390" s="1" t="s">
        <v>246</v>
      </c>
      <c r="AI390" s="1" t="s">
        <v>44</v>
      </c>
      <c r="AL390" s="1" t="str">
        <f t="shared" si="7"/>
        <v>"(Verbruik) Personeel / leerlingen","","","90000000","","unspsc","M","","","","","K","","A010","","9015C","6161000100","False",""</v>
      </c>
    </row>
    <row r="391" spans="1:38" x14ac:dyDescent="0.25">
      <c r="A391" s="1">
        <v>100</v>
      </c>
      <c r="B391" s="1" t="s">
        <v>247</v>
      </c>
      <c r="C391" s="1" t="s">
        <v>62</v>
      </c>
      <c r="E391" s="1" t="s">
        <v>237</v>
      </c>
      <c r="F391" s="1">
        <v>11</v>
      </c>
      <c r="G391" s="1" t="s">
        <v>238</v>
      </c>
      <c r="H391" s="8">
        <v>7</v>
      </c>
      <c r="J391" s="1" t="s">
        <v>119</v>
      </c>
      <c r="K391" s="1" t="s">
        <v>242</v>
      </c>
      <c r="O391" s="11">
        <v>90000000</v>
      </c>
      <c r="Q391" s="1" t="s">
        <v>35</v>
      </c>
      <c r="R391" s="1" t="s">
        <v>36</v>
      </c>
      <c r="W391" s="1" t="s">
        <v>42</v>
      </c>
      <c r="Y391" s="1" t="s">
        <v>37</v>
      </c>
      <c r="AA391" s="12" t="s">
        <v>302</v>
      </c>
      <c r="AB391" s="1" t="s">
        <v>303</v>
      </c>
      <c r="AC391" s="12" t="s">
        <v>52</v>
      </c>
      <c r="AD391" s="13">
        <v>0</v>
      </c>
      <c r="AE391" s="14" t="s">
        <v>53</v>
      </c>
      <c r="AF391" s="15"/>
      <c r="AG391" s="1">
        <v>6030000100</v>
      </c>
      <c r="AH391" s="1" t="s">
        <v>120</v>
      </c>
      <c r="AI391" s="1" t="s">
        <v>44</v>
      </c>
      <c r="AL391" s="1" t="str">
        <f t="shared" si="7"/>
        <v>"Maximumfactuur","","","90000000","","unspsc","M","","","","","K","","A010","","9015C","6030000100","False",""</v>
      </c>
    </row>
    <row r="392" spans="1:38" x14ac:dyDescent="0.25">
      <c r="A392" s="1">
        <v>100</v>
      </c>
      <c r="C392" s="1" t="s">
        <v>62</v>
      </c>
      <c r="D392" s="1" t="s">
        <v>295</v>
      </c>
      <c r="E392" s="1" t="s">
        <v>237</v>
      </c>
      <c r="F392" s="1">
        <v>11</v>
      </c>
      <c r="G392" s="1" t="s">
        <v>238</v>
      </c>
      <c r="H392" s="8">
        <v>6</v>
      </c>
      <c r="J392" s="1" t="s">
        <v>108</v>
      </c>
      <c r="K392" s="1" t="s">
        <v>242</v>
      </c>
      <c r="O392" s="11">
        <v>90000000</v>
      </c>
      <c r="Q392" s="1" t="s">
        <v>35</v>
      </c>
      <c r="R392" s="1" t="s">
        <v>36</v>
      </c>
      <c r="W392" s="1" t="s">
        <v>42</v>
      </c>
      <c r="Y392" s="1" t="s">
        <v>37</v>
      </c>
      <c r="AA392" s="12" t="s">
        <v>302</v>
      </c>
      <c r="AB392" s="1" t="s">
        <v>303</v>
      </c>
      <c r="AC392" s="12" t="s">
        <v>52</v>
      </c>
      <c r="AD392" s="13">
        <v>0</v>
      </c>
      <c r="AE392" s="14" t="s">
        <v>53</v>
      </c>
      <c r="AF392" s="15"/>
      <c r="AG392" s="1">
        <v>6030000200</v>
      </c>
      <c r="AH392" s="1" t="s">
        <v>109</v>
      </c>
      <c r="AI392" s="1" t="s">
        <v>44</v>
      </c>
      <c r="AL392" s="1" t="str">
        <f t="shared" si="7"/>
        <v>"Doorverkoop onderwijs (niet max fac)","","","90000000","","unspsc","M","","","","","K","","A010","","9015C","6030000200","False",""</v>
      </c>
    </row>
    <row r="393" spans="1:38" x14ac:dyDescent="0.25">
      <c r="A393" s="1">
        <v>100</v>
      </c>
      <c r="B393" s="1" t="s">
        <v>247</v>
      </c>
      <c r="C393" s="1" t="s">
        <v>62</v>
      </c>
      <c r="E393" s="1" t="s">
        <v>237</v>
      </c>
      <c r="F393" s="1">
        <v>11</v>
      </c>
      <c r="G393" s="1" t="s">
        <v>238</v>
      </c>
      <c r="H393" s="8">
        <v>7</v>
      </c>
      <c r="J393" s="1" t="s">
        <v>119</v>
      </c>
      <c r="K393" s="1" t="s">
        <v>242</v>
      </c>
      <c r="O393" s="11">
        <v>90000000</v>
      </c>
      <c r="Q393" s="1" t="s">
        <v>35</v>
      </c>
      <c r="R393" s="1" t="s">
        <v>36</v>
      </c>
      <c r="W393" s="1" t="s">
        <v>42</v>
      </c>
      <c r="Y393" s="1" t="s">
        <v>37</v>
      </c>
      <c r="AA393" s="12" t="s">
        <v>298</v>
      </c>
      <c r="AB393" s="1" t="s">
        <v>303</v>
      </c>
      <c r="AC393" s="12" t="s">
        <v>52</v>
      </c>
      <c r="AD393" s="13">
        <v>0</v>
      </c>
      <c r="AE393" s="14" t="s">
        <v>53</v>
      </c>
      <c r="AF393" s="15"/>
      <c r="AG393" s="1">
        <v>6030000100</v>
      </c>
      <c r="AH393" s="1" t="s">
        <v>120</v>
      </c>
      <c r="AI393" s="1" t="s">
        <v>44</v>
      </c>
      <c r="AL393" s="1" t="str">
        <f t="shared" si="7"/>
        <v>"Maximumfactuur","","","90000000","","unspsc","M","","","","","K","","A010","","9015D","6030000100","False",""</v>
      </c>
    </row>
    <row r="394" spans="1:38" x14ac:dyDescent="0.25">
      <c r="A394" s="1">
        <v>100</v>
      </c>
      <c r="B394" s="2"/>
      <c r="C394" s="1" t="s">
        <v>62</v>
      </c>
      <c r="E394" s="1" t="s">
        <v>237</v>
      </c>
      <c r="F394" s="2">
        <v>11</v>
      </c>
      <c r="G394" s="2" t="s">
        <v>238</v>
      </c>
      <c r="J394" s="2" t="s">
        <v>33</v>
      </c>
      <c r="K394" s="2" t="s">
        <v>242</v>
      </c>
      <c r="O394" s="3">
        <v>90000000</v>
      </c>
      <c r="Q394" s="1" t="s">
        <v>35</v>
      </c>
      <c r="R394" s="1" t="s">
        <v>36</v>
      </c>
      <c r="Y394" s="1" t="s">
        <v>37</v>
      </c>
      <c r="Z394" s="2"/>
      <c r="AA394" s="4">
        <v>90151503</v>
      </c>
      <c r="AB394" s="2" t="s">
        <v>304</v>
      </c>
      <c r="AC394" s="5" t="s">
        <v>52</v>
      </c>
      <c r="AD394" s="9">
        <v>0</v>
      </c>
      <c r="AE394" s="10" t="s">
        <v>53</v>
      </c>
      <c r="AF394" s="19"/>
      <c r="AG394" s="2"/>
      <c r="AH394" s="2"/>
      <c r="AI394" s="2" t="s">
        <v>40</v>
      </c>
      <c r="AJ394" s="2"/>
      <c r="AK394" s="2"/>
      <c r="AL394" s="1" t="str">
        <f t="shared" si="7"/>
        <v>"Maak je keuze","","","90000000","","unspsc","M","","","","","","","A010","","90151503","","True",""</v>
      </c>
    </row>
    <row r="395" spans="1:38" x14ac:dyDescent="0.25">
      <c r="A395" s="1">
        <v>100</v>
      </c>
      <c r="C395" s="1" t="s">
        <v>62</v>
      </c>
      <c r="E395" s="1" t="s">
        <v>237</v>
      </c>
      <c r="F395" s="1">
        <v>11</v>
      </c>
      <c r="G395" s="1" t="s">
        <v>238</v>
      </c>
      <c r="H395" s="8">
        <v>1</v>
      </c>
      <c r="J395" s="1" t="s">
        <v>170</v>
      </c>
      <c r="K395" s="1" t="s">
        <v>242</v>
      </c>
      <c r="O395" s="11">
        <v>90000000</v>
      </c>
      <c r="Q395" s="1" t="s">
        <v>35</v>
      </c>
      <c r="R395" s="1" t="s">
        <v>36</v>
      </c>
      <c r="W395" s="1" t="s">
        <v>42</v>
      </c>
      <c r="Y395" s="1" t="s">
        <v>37</v>
      </c>
      <c r="AA395" s="12">
        <v>90151503</v>
      </c>
      <c r="AB395" s="1" t="s">
        <v>304</v>
      </c>
      <c r="AC395" s="12" t="s">
        <v>52</v>
      </c>
      <c r="AD395" s="13">
        <v>0</v>
      </c>
      <c r="AE395" s="14" t="s">
        <v>53</v>
      </c>
      <c r="AG395" s="1">
        <v>6161000100</v>
      </c>
      <c r="AH395" s="1" t="s">
        <v>246</v>
      </c>
      <c r="AI395" s="1" t="s">
        <v>44</v>
      </c>
      <c r="AL395" s="1" t="str">
        <f t="shared" si="7"/>
        <v>"(Verbruik) Personeel / leerlingen","","","90000000","","unspsc","M","","","","","K","","A010","","90151503","6161000100","False",""</v>
      </c>
    </row>
    <row r="396" spans="1:38" x14ac:dyDescent="0.25">
      <c r="A396" s="1">
        <v>100</v>
      </c>
      <c r="C396" s="1" t="s">
        <v>62</v>
      </c>
      <c r="E396" s="1" t="s">
        <v>237</v>
      </c>
      <c r="F396" s="1">
        <v>11</v>
      </c>
      <c r="G396" s="1" t="s">
        <v>238</v>
      </c>
      <c r="H396" s="8">
        <v>1</v>
      </c>
      <c r="J396" s="1" t="s">
        <v>170</v>
      </c>
      <c r="K396" s="1" t="s">
        <v>242</v>
      </c>
      <c r="O396" s="11">
        <v>90000000</v>
      </c>
      <c r="Q396" s="1" t="s">
        <v>35</v>
      </c>
      <c r="R396" s="1" t="s">
        <v>36</v>
      </c>
      <c r="W396" s="1" t="s">
        <v>42</v>
      </c>
      <c r="Y396" s="1" t="s">
        <v>37</v>
      </c>
      <c r="AA396" s="12">
        <v>90151503</v>
      </c>
      <c r="AB396" s="1" t="s">
        <v>304</v>
      </c>
      <c r="AC396" s="12" t="s">
        <v>52</v>
      </c>
      <c r="AD396" s="13">
        <v>0</v>
      </c>
      <c r="AE396" s="14" t="s">
        <v>53</v>
      </c>
      <c r="AG396" s="1">
        <v>6030000100</v>
      </c>
      <c r="AH396" s="1" t="s">
        <v>120</v>
      </c>
      <c r="AI396" s="1" t="s">
        <v>44</v>
      </c>
      <c r="AL396" s="1" t="str">
        <f t="shared" si="7"/>
        <v>"(Verbruik) Personeel / leerlingen","","","90000000","","unspsc","M","","","","","K","","A010","","90151503","6030000100","False",""</v>
      </c>
    </row>
    <row r="397" spans="1:38" x14ac:dyDescent="0.25">
      <c r="A397" s="1">
        <v>100</v>
      </c>
      <c r="B397" s="2" t="s">
        <v>305</v>
      </c>
      <c r="C397" s="1" t="s">
        <v>62</v>
      </c>
      <c r="E397" s="1" t="s">
        <v>237</v>
      </c>
      <c r="F397" s="2">
        <v>11</v>
      </c>
      <c r="G397" s="2" t="s">
        <v>238</v>
      </c>
      <c r="J397" s="2" t="s">
        <v>33</v>
      </c>
      <c r="K397" s="2" t="s">
        <v>242</v>
      </c>
      <c r="O397" s="3">
        <v>90000000</v>
      </c>
      <c r="Q397" s="1" t="s">
        <v>35</v>
      </c>
      <c r="R397" s="1" t="s">
        <v>36</v>
      </c>
      <c r="Y397" s="1" t="s">
        <v>37</v>
      </c>
      <c r="Z397" s="2"/>
      <c r="AA397" s="4">
        <v>9011</v>
      </c>
      <c r="AB397" s="2" t="s">
        <v>306</v>
      </c>
      <c r="AC397" s="5" t="s">
        <v>307</v>
      </c>
      <c r="AD397" s="9">
        <v>0.12</v>
      </c>
      <c r="AE397" s="10" t="s">
        <v>53</v>
      </c>
      <c r="AF397" s="7"/>
      <c r="AG397" s="2"/>
      <c r="AH397" s="2"/>
      <c r="AI397" s="2" t="s">
        <v>40</v>
      </c>
      <c r="AJ397" s="2"/>
      <c r="AK397" s="2"/>
      <c r="AL397" s="1" t="str">
        <f t="shared" si="7"/>
        <v>"Maak je keuze","","","90000000","","unspsc","M","","","","","","","A010","","9011","","True",""</v>
      </c>
    </row>
    <row r="398" spans="1:38" x14ac:dyDescent="0.25">
      <c r="A398" s="1">
        <v>100</v>
      </c>
      <c r="B398" s="2" t="s">
        <v>305</v>
      </c>
      <c r="C398" s="1" t="s">
        <v>62</v>
      </c>
      <c r="E398" s="1" t="s">
        <v>237</v>
      </c>
      <c r="F398" s="1">
        <v>11</v>
      </c>
      <c r="G398" s="1" t="s">
        <v>238</v>
      </c>
      <c r="H398" s="8">
        <v>1</v>
      </c>
      <c r="J398" s="1" t="s">
        <v>170</v>
      </c>
      <c r="K398" s="1" t="s">
        <v>242</v>
      </c>
      <c r="O398" s="11">
        <v>90000000</v>
      </c>
      <c r="Q398" s="1" t="s">
        <v>35</v>
      </c>
      <c r="R398" s="1" t="s">
        <v>36</v>
      </c>
      <c r="W398" s="1" t="s">
        <v>42</v>
      </c>
      <c r="Y398" s="1" t="s">
        <v>37</v>
      </c>
      <c r="AA398" s="12">
        <v>9011</v>
      </c>
      <c r="AB398" s="1" t="s">
        <v>306</v>
      </c>
      <c r="AC398" s="12" t="s">
        <v>307</v>
      </c>
      <c r="AD398" s="13">
        <v>0.12</v>
      </c>
      <c r="AE398" s="14" t="s">
        <v>53</v>
      </c>
      <c r="AG398" s="1">
        <v>6161000100</v>
      </c>
      <c r="AH398" s="1" t="s">
        <v>246</v>
      </c>
      <c r="AI398" s="1" t="s">
        <v>308</v>
      </c>
      <c r="AL398" s="1" t="str">
        <f t="shared" si="7"/>
        <v>"(Verbruik) Personeel / leerlingen","","","90000000","","unspsc","M","","","","","K","","A010","","9011","6161000100","false",""</v>
      </c>
    </row>
    <row r="399" spans="1:38" x14ac:dyDescent="0.25">
      <c r="A399" s="1">
        <v>100</v>
      </c>
      <c r="B399" s="1" t="s">
        <v>247</v>
      </c>
      <c r="C399" s="1" t="s">
        <v>62</v>
      </c>
      <c r="E399" s="1" t="s">
        <v>237</v>
      </c>
      <c r="F399" s="1">
        <v>11</v>
      </c>
      <c r="G399" s="1" t="s">
        <v>238</v>
      </c>
      <c r="H399" s="8">
        <v>6</v>
      </c>
      <c r="J399" s="1" t="s">
        <v>108</v>
      </c>
      <c r="K399" s="1" t="s">
        <v>242</v>
      </c>
      <c r="O399" s="11">
        <v>90000000</v>
      </c>
      <c r="Q399" s="1" t="s">
        <v>35</v>
      </c>
      <c r="R399" s="1" t="s">
        <v>36</v>
      </c>
      <c r="W399" s="1" t="s">
        <v>42</v>
      </c>
      <c r="Y399" s="1" t="s">
        <v>37</v>
      </c>
      <c r="AA399" s="12">
        <v>9011</v>
      </c>
      <c r="AB399" s="1" t="s">
        <v>306</v>
      </c>
      <c r="AC399" s="12" t="s">
        <v>307</v>
      </c>
      <c r="AD399" s="13">
        <v>0.12</v>
      </c>
      <c r="AE399" s="14" t="s">
        <v>53</v>
      </c>
      <c r="AF399" s="15"/>
      <c r="AG399" s="1">
        <v>6030000200</v>
      </c>
      <c r="AH399" s="1" t="s">
        <v>109</v>
      </c>
      <c r="AI399" s="1" t="s">
        <v>44</v>
      </c>
      <c r="AL399" s="1" t="str">
        <f t="shared" si="7"/>
        <v>"Doorverkoop onderwijs (niet max fac)","","","90000000","","unspsc","M","","","","","K","","A010","","9011","6030000200","False",""</v>
      </c>
    </row>
    <row r="400" spans="1:38" x14ac:dyDescent="0.25">
      <c r="A400" s="1">
        <v>100</v>
      </c>
      <c r="B400" s="1" t="s">
        <v>305</v>
      </c>
      <c r="C400" s="1" t="s">
        <v>62</v>
      </c>
      <c r="D400" s="1" t="s">
        <v>236</v>
      </c>
      <c r="E400" s="1" t="s">
        <v>237</v>
      </c>
      <c r="F400" s="1">
        <v>11</v>
      </c>
      <c r="G400" s="1" t="s">
        <v>238</v>
      </c>
      <c r="H400" s="8">
        <v>11</v>
      </c>
      <c r="J400" s="1" t="s">
        <v>241</v>
      </c>
      <c r="K400" s="1" t="s">
        <v>242</v>
      </c>
      <c r="O400" s="11">
        <v>90000000</v>
      </c>
      <c r="Q400" s="1" t="s">
        <v>35</v>
      </c>
      <c r="R400" s="1" t="s">
        <v>36</v>
      </c>
      <c r="W400" s="1" t="s">
        <v>42</v>
      </c>
      <c r="Y400" s="1" t="s">
        <v>37</v>
      </c>
      <c r="AA400" s="80">
        <v>9011</v>
      </c>
      <c r="AB400" s="1" t="s">
        <v>306</v>
      </c>
      <c r="AC400" s="12" t="s">
        <v>307</v>
      </c>
      <c r="AD400" s="13">
        <v>0.12</v>
      </c>
      <c r="AE400" s="14" t="s">
        <v>53</v>
      </c>
      <c r="AF400" s="15"/>
      <c r="AG400" s="1">
        <v>6030000150</v>
      </c>
      <c r="AH400" s="1" t="s">
        <v>243</v>
      </c>
      <c r="AI400" s="1" t="s">
        <v>44</v>
      </c>
      <c r="AL400" s="1" t="str">
        <f t="shared" si="7"/>
        <v>"Max fac (meerdaagse)","","","90000000","","unspsc","M","","","","","K","","A010","","9011","6030000150","False",""</v>
      </c>
    </row>
    <row r="401" spans="1:38" x14ac:dyDescent="0.25">
      <c r="A401" s="1">
        <v>100</v>
      </c>
      <c r="B401" s="2"/>
      <c r="C401" s="1" t="s">
        <v>62</v>
      </c>
      <c r="E401" s="1" t="s">
        <v>237</v>
      </c>
      <c r="F401" s="2">
        <v>11</v>
      </c>
      <c r="G401" s="2" t="s">
        <v>238</v>
      </c>
      <c r="J401" s="2" t="s">
        <v>33</v>
      </c>
      <c r="K401" s="2" t="s">
        <v>242</v>
      </c>
      <c r="O401" s="3">
        <v>90000000</v>
      </c>
      <c r="Q401" s="1" t="s">
        <v>35</v>
      </c>
      <c r="R401" s="1" t="s">
        <v>36</v>
      </c>
      <c r="Y401" s="1" t="s">
        <v>37</v>
      </c>
      <c r="Z401" s="2"/>
      <c r="AA401" s="4" t="s">
        <v>309</v>
      </c>
      <c r="AB401" s="2" t="s">
        <v>310</v>
      </c>
      <c r="AC401" s="5" t="s">
        <v>52</v>
      </c>
      <c r="AD401" s="9">
        <v>0</v>
      </c>
      <c r="AE401" s="10" t="s">
        <v>53</v>
      </c>
      <c r="AF401" s="7"/>
      <c r="AG401" s="2"/>
      <c r="AH401" s="2"/>
      <c r="AI401" s="2" t="s">
        <v>40</v>
      </c>
      <c r="AJ401" s="2"/>
      <c r="AK401" s="2"/>
      <c r="AL401" s="1" t="str">
        <f t="shared" si="7"/>
        <v>"Maak je keuze","","","90000000","","unspsc","M","","","","","","","A010","","9011X","","True",""</v>
      </c>
    </row>
    <row r="402" spans="1:38" x14ac:dyDescent="0.25">
      <c r="A402" s="1">
        <v>100</v>
      </c>
      <c r="C402" s="1" t="s">
        <v>62</v>
      </c>
      <c r="E402" s="1" t="s">
        <v>237</v>
      </c>
      <c r="F402" s="1">
        <v>11</v>
      </c>
      <c r="G402" s="1" t="s">
        <v>238</v>
      </c>
      <c r="H402" s="8">
        <v>1</v>
      </c>
      <c r="J402" s="1" t="s">
        <v>170</v>
      </c>
      <c r="K402" s="1" t="s">
        <v>242</v>
      </c>
      <c r="O402" s="11">
        <v>90000000</v>
      </c>
      <c r="Q402" s="1" t="s">
        <v>35</v>
      </c>
      <c r="R402" s="1" t="s">
        <v>36</v>
      </c>
      <c r="W402" s="1" t="s">
        <v>42</v>
      </c>
      <c r="Y402" s="1" t="s">
        <v>37</v>
      </c>
      <c r="AA402" s="12" t="s">
        <v>309</v>
      </c>
      <c r="AB402" s="1" t="s">
        <v>310</v>
      </c>
      <c r="AC402" s="12" t="s">
        <v>52</v>
      </c>
      <c r="AD402" s="13">
        <v>0</v>
      </c>
      <c r="AE402" s="14" t="s">
        <v>53</v>
      </c>
      <c r="AF402" s="15"/>
      <c r="AG402" s="1">
        <v>6161000100</v>
      </c>
      <c r="AH402" s="1" t="s">
        <v>246</v>
      </c>
      <c r="AI402" s="1" t="s">
        <v>44</v>
      </c>
      <c r="AL402" s="1" t="str">
        <f t="shared" si="7"/>
        <v>"(Verbruik) Personeel / leerlingen","","","90000000","","unspsc","M","","","","","K","","A010","","9011X","6161000100","False",""</v>
      </c>
    </row>
    <row r="403" spans="1:38" x14ac:dyDescent="0.25">
      <c r="A403" s="1">
        <v>100</v>
      </c>
      <c r="B403" s="1" t="s">
        <v>247</v>
      </c>
      <c r="C403" s="1" t="s">
        <v>62</v>
      </c>
      <c r="E403" s="1" t="s">
        <v>237</v>
      </c>
      <c r="F403" s="1">
        <v>11</v>
      </c>
      <c r="G403" s="1" t="s">
        <v>238</v>
      </c>
      <c r="H403" s="8">
        <v>6</v>
      </c>
      <c r="J403" s="1" t="s">
        <v>108</v>
      </c>
      <c r="K403" s="1" t="s">
        <v>242</v>
      </c>
      <c r="O403" s="11">
        <v>90000000</v>
      </c>
      <c r="Q403" s="1" t="s">
        <v>35</v>
      </c>
      <c r="R403" s="1" t="s">
        <v>36</v>
      </c>
      <c r="W403" s="1" t="s">
        <v>42</v>
      </c>
      <c r="Y403" s="1" t="s">
        <v>37</v>
      </c>
      <c r="AA403" s="12" t="s">
        <v>309</v>
      </c>
      <c r="AB403" s="1" t="s">
        <v>310</v>
      </c>
      <c r="AC403" s="12" t="s">
        <v>52</v>
      </c>
      <c r="AD403" s="13">
        <v>0</v>
      </c>
      <c r="AE403" s="14" t="s">
        <v>53</v>
      </c>
      <c r="AF403" s="15"/>
      <c r="AG403" s="1">
        <v>6030000200</v>
      </c>
      <c r="AH403" s="1" t="s">
        <v>109</v>
      </c>
      <c r="AI403" s="1" t="s">
        <v>44</v>
      </c>
      <c r="AL403" s="1" t="str">
        <f t="shared" si="7"/>
        <v>"Doorverkoop onderwijs (niet max fac)","","","90000000","","unspsc","M","","","","","K","","A010","","9011X","6030000200","False",""</v>
      </c>
    </row>
    <row r="404" spans="1:38" x14ac:dyDescent="0.25">
      <c r="A404" s="1">
        <v>100</v>
      </c>
      <c r="B404" s="1" t="s">
        <v>305</v>
      </c>
      <c r="C404" s="1" t="s">
        <v>62</v>
      </c>
      <c r="D404" s="1" t="s">
        <v>236</v>
      </c>
      <c r="E404" s="1" t="s">
        <v>237</v>
      </c>
      <c r="F404" s="1">
        <v>11</v>
      </c>
      <c r="G404" s="1" t="s">
        <v>238</v>
      </c>
      <c r="H404" s="8">
        <v>11</v>
      </c>
      <c r="J404" s="1" t="s">
        <v>241</v>
      </c>
      <c r="K404" s="1" t="s">
        <v>242</v>
      </c>
      <c r="O404" s="11">
        <v>90000000</v>
      </c>
      <c r="Q404" s="1" t="s">
        <v>35</v>
      </c>
      <c r="R404" s="1" t="s">
        <v>36</v>
      </c>
      <c r="W404" s="1" t="s">
        <v>42</v>
      </c>
      <c r="Y404" s="1" t="s">
        <v>37</v>
      </c>
      <c r="AA404" s="80" t="s">
        <v>309</v>
      </c>
      <c r="AB404" s="1" t="s">
        <v>306</v>
      </c>
      <c r="AC404" s="12" t="s">
        <v>52</v>
      </c>
      <c r="AD404" s="13">
        <v>0</v>
      </c>
      <c r="AE404" s="14" t="s">
        <v>53</v>
      </c>
      <c r="AF404" s="15"/>
      <c r="AG404" s="1">
        <v>6030000150</v>
      </c>
      <c r="AH404" s="1" t="s">
        <v>243</v>
      </c>
      <c r="AI404" s="1" t="s">
        <v>44</v>
      </c>
      <c r="AL404" s="1" t="str">
        <f t="shared" si="7"/>
        <v>"Max fac (meerdaagse)","","","90000000","","unspsc","M","","","","","K","","A010","","9011X","6030000150","False",""</v>
      </c>
    </row>
    <row r="405" spans="1:38" x14ac:dyDescent="0.25">
      <c r="A405" s="1">
        <v>100</v>
      </c>
      <c r="B405" s="2"/>
      <c r="C405" s="1" t="s">
        <v>62</v>
      </c>
      <c r="D405" s="1" t="s">
        <v>295</v>
      </c>
      <c r="E405" s="1" t="s">
        <v>237</v>
      </c>
      <c r="F405" s="2">
        <v>11</v>
      </c>
      <c r="G405" s="2" t="s">
        <v>238</v>
      </c>
      <c r="J405" s="2" t="s">
        <v>33</v>
      </c>
      <c r="K405" s="2" t="s">
        <v>242</v>
      </c>
      <c r="O405" s="3">
        <v>90000000</v>
      </c>
      <c r="Q405" s="1" t="s">
        <v>35</v>
      </c>
      <c r="R405" s="1" t="s">
        <v>36</v>
      </c>
      <c r="Y405" s="1" t="s">
        <v>37</v>
      </c>
      <c r="Z405" s="2"/>
      <c r="AA405" s="4" t="s">
        <v>311</v>
      </c>
      <c r="AB405" s="2" t="s">
        <v>312</v>
      </c>
      <c r="AC405" s="5" t="s">
        <v>91</v>
      </c>
      <c r="AD405" s="9">
        <v>0.21</v>
      </c>
      <c r="AE405" s="10" t="s">
        <v>53</v>
      </c>
      <c r="AF405" s="7"/>
      <c r="AG405" s="2"/>
      <c r="AH405" s="2"/>
      <c r="AI405" s="2" t="s">
        <v>40</v>
      </c>
      <c r="AJ405" s="2"/>
      <c r="AK405" s="2"/>
      <c r="AL405" s="1" t="str">
        <f t="shared" si="7"/>
        <v>"Maak je keuze","","","90000000","","unspsc","M","","","","","","","A010","","9015BB","","True",""</v>
      </c>
    </row>
    <row r="406" spans="1:38" x14ac:dyDescent="0.25">
      <c r="A406" s="1">
        <v>100</v>
      </c>
      <c r="C406" s="1" t="s">
        <v>62</v>
      </c>
      <c r="D406" s="1" t="s">
        <v>295</v>
      </c>
      <c r="E406" s="1" t="s">
        <v>237</v>
      </c>
      <c r="F406" s="1">
        <v>11</v>
      </c>
      <c r="G406" s="1" t="s">
        <v>238</v>
      </c>
      <c r="H406" s="8">
        <v>1</v>
      </c>
      <c r="J406" s="1" t="s">
        <v>170</v>
      </c>
      <c r="K406" s="1" t="s">
        <v>242</v>
      </c>
      <c r="O406" s="11">
        <v>90000000</v>
      </c>
      <c r="Q406" s="1" t="s">
        <v>35</v>
      </c>
      <c r="R406" s="1" t="s">
        <v>36</v>
      </c>
      <c r="W406" s="1" t="s">
        <v>42</v>
      </c>
      <c r="Y406" s="1" t="s">
        <v>37</v>
      </c>
      <c r="AA406" s="12" t="s">
        <v>311</v>
      </c>
      <c r="AB406" s="1" t="s">
        <v>312</v>
      </c>
      <c r="AC406" s="12" t="s">
        <v>91</v>
      </c>
      <c r="AD406" s="13">
        <v>0.21</v>
      </c>
      <c r="AE406" s="14" t="s">
        <v>53</v>
      </c>
      <c r="AF406" s="15"/>
      <c r="AG406" s="1">
        <v>6161000100</v>
      </c>
      <c r="AH406" s="1" t="s">
        <v>246</v>
      </c>
      <c r="AI406" s="1" t="s">
        <v>44</v>
      </c>
      <c r="AL406" s="1" t="str">
        <f t="shared" si="7"/>
        <v>"(Verbruik) Personeel / leerlingen","","","90000000","","unspsc","M","","","","","K","","A010","","9015BB","6161000100","False",""</v>
      </c>
    </row>
    <row r="407" spans="1:38" x14ac:dyDescent="0.25">
      <c r="A407" s="1">
        <v>100</v>
      </c>
      <c r="B407" s="1" t="s">
        <v>305</v>
      </c>
      <c r="C407" s="1" t="s">
        <v>62</v>
      </c>
      <c r="D407" s="1" t="s">
        <v>236</v>
      </c>
      <c r="E407" s="1" t="s">
        <v>237</v>
      </c>
      <c r="F407" s="1">
        <v>11</v>
      </c>
      <c r="G407" s="1" t="s">
        <v>238</v>
      </c>
      <c r="H407" s="8">
        <v>11</v>
      </c>
      <c r="J407" s="1" t="s">
        <v>241</v>
      </c>
      <c r="K407" s="1" t="s">
        <v>242</v>
      </c>
      <c r="O407" s="11">
        <v>90000000</v>
      </c>
      <c r="Q407" s="1" t="s">
        <v>35</v>
      </c>
      <c r="R407" s="1" t="s">
        <v>36</v>
      </c>
      <c r="W407" s="1" t="s">
        <v>42</v>
      </c>
      <c r="Y407" s="1" t="s">
        <v>37</v>
      </c>
      <c r="AA407" s="12" t="s">
        <v>311</v>
      </c>
      <c r="AB407" s="1" t="s">
        <v>312</v>
      </c>
      <c r="AC407" s="12" t="s">
        <v>138</v>
      </c>
      <c r="AD407" s="77">
        <v>0.06</v>
      </c>
      <c r="AE407" s="14" t="s">
        <v>53</v>
      </c>
      <c r="AF407" s="15"/>
      <c r="AG407" s="1">
        <v>6030000150</v>
      </c>
      <c r="AH407" s="1" t="s">
        <v>243</v>
      </c>
      <c r="AI407" s="1" t="s">
        <v>44</v>
      </c>
      <c r="AL407" s="1" t="str">
        <f t="shared" si="7"/>
        <v>"Max fac (meerdaagse)","","","90000000","","unspsc","M","","","","","K","","A010","","9015BB","6030000150","False",""</v>
      </c>
    </row>
    <row r="408" spans="1:38" x14ac:dyDescent="0.25">
      <c r="A408" s="1">
        <v>100</v>
      </c>
      <c r="C408" s="1" t="s">
        <v>62</v>
      </c>
      <c r="D408" s="1" t="s">
        <v>295</v>
      </c>
      <c r="E408" s="1" t="s">
        <v>237</v>
      </c>
      <c r="F408" s="1">
        <v>11</v>
      </c>
      <c r="G408" s="1" t="s">
        <v>238</v>
      </c>
      <c r="H408" s="8">
        <v>6</v>
      </c>
      <c r="J408" s="1" t="s">
        <v>108</v>
      </c>
      <c r="K408" s="1" t="s">
        <v>242</v>
      </c>
      <c r="O408" s="11">
        <v>90000000</v>
      </c>
      <c r="Q408" s="1" t="s">
        <v>35</v>
      </c>
      <c r="R408" s="1" t="s">
        <v>36</v>
      </c>
      <c r="W408" s="1" t="s">
        <v>42</v>
      </c>
      <c r="Y408" s="1" t="s">
        <v>37</v>
      </c>
      <c r="AA408" s="12" t="s">
        <v>311</v>
      </c>
      <c r="AB408" s="1" t="s">
        <v>312</v>
      </c>
      <c r="AC408" s="12" t="s">
        <v>91</v>
      </c>
      <c r="AD408" s="13">
        <v>0.21</v>
      </c>
      <c r="AE408" s="14" t="s">
        <v>53</v>
      </c>
      <c r="AF408" s="15"/>
      <c r="AG408" s="1">
        <v>6030000200</v>
      </c>
      <c r="AH408" s="1" t="s">
        <v>109</v>
      </c>
      <c r="AI408" s="1" t="s">
        <v>44</v>
      </c>
      <c r="AL408" s="1" t="str">
        <f t="shared" si="7"/>
        <v>"Doorverkoop onderwijs (niet max fac)","","","90000000","","unspsc","M","","","","","K","","A010","","9015BB","6030000200","False",""</v>
      </c>
    </row>
    <row r="409" spans="1:38" s="21" customFormat="1" x14ac:dyDescent="0.25">
      <c r="A409" s="1">
        <v>100</v>
      </c>
      <c r="B409" s="2"/>
      <c r="C409" s="1" t="s">
        <v>62</v>
      </c>
      <c r="D409" s="1" t="s">
        <v>295</v>
      </c>
      <c r="E409" s="1" t="s">
        <v>237</v>
      </c>
      <c r="F409" s="2">
        <v>11</v>
      </c>
      <c r="G409" s="2" t="s">
        <v>238</v>
      </c>
      <c r="H409" s="8"/>
      <c r="I409" s="8"/>
      <c r="J409" s="2" t="s">
        <v>33</v>
      </c>
      <c r="K409" s="2" t="s">
        <v>242</v>
      </c>
      <c r="L409" s="1"/>
      <c r="M409" s="1"/>
      <c r="N409" s="1"/>
      <c r="O409" s="3">
        <v>90000000</v>
      </c>
      <c r="P409" s="1"/>
      <c r="Q409" s="1" t="s">
        <v>35</v>
      </c>
      <c r="R409" s="1" t="s">
        <v>36</v>
      </c>
      <c r="S409" s="1"/>
      <c r="T409" s="1"/>
      <c r="U409" s="1"/>
      <c r="V409" s="1"/>
      <c r="W409" s="1"/>
      <c r="X409" s="1"/>
      <c r="Y409" s="1" t="s">
        <v>37</v>
      </c>
      <c r="Z409" s="2"/>
      <c r="AA409" s="4" t="s">
        <v>313</v>
      </c>
      <c r="AB409" s="2" t="s">
        <v>314</v>
      </c>
      <c r="AC409" s="5" t="s">
        <v>52</v>
      </c>
      <c r="AD409" s="9">
        <v>0</v>
      </c>
      <c r="AE409" s="10" t="s">
        <v>53</v>
      </c>
      <c r="AF409" s="7"/>
      <c r="AG409" s="2"/>
      <c r="AH409" s="2"/>
      <c r="AI409" s="2" t="s">
        <v>40</v>
      </c>
      <c r="AJ409" s="2"/>
      <c r="AK409" s="2"/>
      <c r="AL409" s="1" t="str">
        <f t="shared" si="7"/>
        <v>"Maak je keuze","","","90000000","","unspsc","M","","","","","","","A010","","9015DD","","True",""</v>
      </c>
    </row>
    <row r="410" spans="1:38" s="21" customFormat="1" x14ac:dyDescent="0.25">
      <c r="A410" s="1">
        <v>100</v>
      </c>
      <c r="B410" s="1"/>
      <c r="C410" s="1" t="s">
        <v>62</v>
      </c>
      <c r="D410" s="1" t="s">
        <v>295</v>
      </c>
      <c r="E410" s="1" t="s">
        <v>237</v>
      </c>
      <c r="F410" s="1">
        <v>11</v>
      </c>
      <c r="G410" s="1" t="s">
        <v>238</v>
      </c>
      <c r="H410" s="8">
        <v>1</v>
      </c>
      <c r="I410" s="8"/>
      <c r="J410" s="1" t="s">
        <v>170</v>
      </c>
      <c r="K410" s="1" t="s">
        <v>242</v>
      </c>
      <c r="L410" s="1"/>
      <c r="M410" s="1"/>
      <c r="N410" s="1"/>
      <c r="O410" s="11">
        <v>90000000</v>
      </c>
      <c r="P410" s="1"/>
      <c r="Q410" s="1" t="s">
        <v>35</v>
      </c>
      <c r="R410" s="1" t="s">
        <v>36</v>
      </c>
      <c r="S410" s="1"/>
      <c r="T410" s="1"/>
      <c r="U410" s="1"/>
      <c r="V410" s="1"/>
      <c r="W410" s="1" t="s">
        <v>42</v>
      </c>
      <c r="X410" s="1"/>
      <c r="Y410" s="1" t="s">
        <v>37</v>
      </c>
      <c r="Z410" s="1"/>
      <c r="AA410" s="12" t="s">
        <v>313</v>
      </c>
      <c r="AB410" s="1" t="s">
        <v>314</v>
      </c>
      <c r="AC410" s="12" t="s">
        <v>52</v>
      </c>
      <c r="AD410" s="13">
        <v>0</v>
      </c>
      <c r="AE410" s="14" t="s">
        <v>53</v>
      </c>
      <c r="AF410" s="15"/>
      <c r="AG410" s="1">
        <v>6161000100</v>
      </c>
      <c r="AH410" s="1" t="s">
        <v>246</v>
      </c>
      <c r="AI410" s="1" t="s">
        <v>44</v>
      </c>
      <c r="AJ410" s="1"/>
      <c r="AK410" s="1"/>
      <c r="AL410" s="1" t="str">
        <f t="shared" si="7"/>
        <v>"(Verbruik) Personeel / leerlingen","","","90000000","","unspsc","M","","","","","K","","A010","","9015DD","6161000100","False",""</v>
      </c>
    </row>
    <row r="411" spans="1:38" s="21" customFormat="1" x14ac:dyDescent="0.25">
      <c r="A411" s="1">
        <v>100</v>
      </c>
      <c r="B411" s="1" t="s">
        <v>305</v>
      </c>
      <c r="C411" s="1" t="s">
        <v>62</v>
      </c>
      <c r="D411" s="1" t="s">
        <v>236</v>
      </c>
      <c r="E411" s="1" t="s">
        <v>237</v>
      </c>
      <c r="F411" s="1">
        <v>11</v>
      </c>
      <c r="G411" s="1" t="s">
        <v>238</v>
      </c>
      <c r="H411" s="8">
        <v>11</v>
      </c>
      <c r="I411" s="8"/>
      <c r="J411" s="1" t="s">
        <v>241</v>
      </c>
      <c r="K411" s="1" t="s">
        <v>242</v>
      </c>
      <c r="L411" s="1"/>
      <c r="M411" s="1"/>
      <c r="N411" s="1"/>
      <c r="O411" s="11">
        <v>90000000</v>
      </c>
      <c r="P411" s="1"/>
      <c r="Q411" s="1" t="s">
        <v>35</v>
      </c>
      <c r="R411" s="1" t="s">
        <v>36</v>
      </c>
      <c r="S411" s="1"/>
      <c r="T411" s="1"/>
      <c r="U411" s="1"/>
      <c r="V411" s="1"/>
      <c r="W411" s="1" t="s">
        <v>42</v>
      </c>
      <c r="X411" s="1"/>
      <c r="Y411" s="1" t="s">
        <v>37</v>
      </c>
      <c r="Z411" s="1"/>
      <c r="AA411" s="12" t="s">
        <v>313</v>
      </c>
      <c r="AB411" s="1" t="s">
        <v>314</v>
      </c>
      <c r="AC411" s="12" t="s">
        <v>52</v>
      </c>
      <c r="AD411" s="13">
        <v>0</v>
      </c>
      <c r="AE411" s="14" t="s">
        <v>53</v>
      </c>
      <c r="AF411" s="15"/>
      <c r="AG411" s="1">
        <v>6030000150</v>
      </c>
      <c r="AH411" s="1" t="s">
        <v>243</v>
      </c>
      <c r="AI411" s="1" t="s">
        <v>44</v>
      </c>
      <c r="AJ411" s="1"/>
      <c r="AK411" s="1"/>
      <c r="AL411" s="1" t="str">
        <f t="shared" si="7"/>
        <v>"Max fac (meerdaagse)","","","90000000","","unspsc","M","","","","","K","","A010","","9015DD","6030000150","False",""</v>
      </c>
    </row>
    <row r="412" spans="1:38" x14ac:dyDescent="0.25">
      <c r="A412" s="1">
        <v>100</v>
      </c>
      <c r="B412" s="1" t="s">
        <v>247</v>
      </c>
      <c r="C412" s="1" t="s">
        <v>62</v>
      </c>
      <c r="D412" s="1" t="s">
        <v>295</v>
      </c>
      <c r="E412" s="1" t="s">
        <v>237</v>
      </c>
      <c r="F412" s="1">
        <v>11</v>
      </c>
      <c r="G412" s="1" t="s">
        <v>238</v>
      </c>
      <c r="H412" s="8">
        <v>6</v>
      </c>
      <c r="J412" s="1" t="s">
        <v>108</v>
      </c>
      <c r="K412" s="1" t="s">
        <v>242</v>
      </c>
      <c r="O412" s="11">
        <v>90000000</v>
      </c>
      <c r="Q412" s="1" t="s">
        <v>35</v>
      </c>
      <c r="R412" s="1" t="s">
        <v>36</v>
      </c>
      <c r="W412" s="1" t="s">
        <v>42</v>
      </c>
      <c r="Y412" s="1" t="s">
        <v>37</v>
      </c>
      <c r="AA412" s="12" t="s">
        <v>313</v>
      </c>
      <c r="AB412" s="1" t="s">
        <v>314</v>
      </c>
      <c r="AC412" s="12" t="s">
        <v>52</v>
      </c>
      <c r="AD412" s="13">
        <v>0</v>
      </c>
      <c r="AE412" s="14" t="s">
        <v>53</v>
      </c>
      <c r="AF412" s="15"/>
      <c r="AG412" s="1">
        <v>6030000200</v>
      </c>
      <c r="AH412" s="1" t="s">
        <v>109</v>
      </c>
      <c r="AI412" s="1" t="s">
        <v>44</v>
      </c>
      <c r="AL412" s="1" t="str">
        <f t="shared" si="7"/>
        <v>"Doorverkoop onderwijs (niet max fac)","","","90000000","","unspsc","M","","","","","K","","A010","","9015DD","6030000200","False",""</v>
      </c>
    </row>
    <row r="413" spans="1:38" x14ac:dyDescent="0.25">
      <c r="A413" s="1">
        <v>100</v>
      </c>
      <c r="B413" s="2"/>
      <c r="C413" s="1" t="s">
        <v>62</v>
      </c>
      <c r="D413" s="1" t="s">
        <v>295</v>
      </c>
      <c r="E413" s="1" t="s">
        <v>237</v>
      </c>
      <c r="F413" s="2">
        <v>11</v>
      </c>
      <c r="G413" s="2" t="s">
        <v>238</v>
      </c>
      <c r="J413" s="2" t="s">
        <v>33</v>
      </c>
      <c r="K413" s="2" t="s">
        <v>242</v>
      </c>
      <c r="O413" s="3">
        <v>90000000</v>
      </c>
      <c r="Q413" s="1" t="s">
        <v>35</v>
      </c>
      <c r="R413" s="1" t="s">
        <v>36</v>
      </c>
      <c r="Y413" s="1" t="s">
        <v>37</v>
      </c>
      <c r="Z413" s="2"/>
      <c r="AA413" s="4" t="s">
        <v>315</v>
      </c>
      <c r="AB413" s="2" t="s">
        <v>316</v>
      </c>
      <c r="AC413" s="5" t="s">
        <v>138</v>
      </c>
      <c r="AD413" s="81">
        <v>0.06</v>
      </c>
      <c r="AE413" s="82" t="s">
        <v>53</v>
      </c>
      <c r="AF413" s="83"/>
      <c r="AG413" s="2"/>
      <c r="AH413" s="2"/>
      <c r="AI413" s="2" t="s">
        <v>40</v>
      </c>
      <c r="AJ413" s="2"/>
      <c r="AK413" s="2"/>
      <c r="AL413" s="1" t="str">
        <f t="shared" si="7"/>
        <v>"Maak je keuze","","","90000000","","unspsc","M","","","","","","","A010","","9015AA","","True",""</v>
      </c>
    </row>
    <row r="414" spans="1:38" x14ac:dyDescent="0.25">
      <c r="A414" s="1">
        <v>100</v>
      </c>
      <c r="C414" s="1" t="s">
        <v>62</v>
      </c>
      <c r="D414" s="1" t="s">
        <v>295</v>
      </c>
      <c r="E414" s="1" t="s">
        <v>237</v>
      </c>
      <c r="F414" s="1">
        <v>11</v>
      </c>
      <c r="G414" s="1" t="s">
        <v>238</v>
      </c>
      <c r="H414" s="8">
        <v>1</v>
      </c>
      <c r="J414" s="1" t="s">
        <v>170</v>
      </c>
      <c r="K414" s="1" t="s">
        <v>242</v>
      </c>
      <c r="O414" s="11">
        <v>90000000</v>
      </c>
      <c r="Q414" s="1" t="s">
        <v>35</v>
      </c>
      <c r="R414" s="1" t="s">
        <v>36</v>
      </c>
      <c r="W414" s="1" t="s">
        <v>42</v>
      </c>
      <c r="Y414" s="1" t="s">
        <v>37</v>
      </c>
      <c r="AA414" s="12" t="s">
        <v>315</v>
      </c>
      <c r="AB414" s="1" t="s">
        <v>316</v>
      </c>
      <c r="AC414" s="12" t="s">
        <v>138</v>
      </c>
      <c r="AD414" s="13">
        <v>0.06</v>
      </c>
      <c r="AE414" s="14" t="s">
        <v>53</v>
      </c>
      <c r="AF414" s="15"/>
      <c r="AG414" s="1">
        <v>6161000100</v>
      </c>
      <c r="AH414" s="1" t="s">
        <v>246</v>
      </c>
      <c r="AI414" s="1" t="s">
        <v>44</v>
      </c>
      <c r="AL414" s="1" t="str">
        <f t="shared" si="7"/>
        <v>"(Verbruik) Personeel / leerlingen","","","90000000","","unspsc","M","","","","","K","","A010","","9015AA","6161000100","False",""</v>
      </c>
    </row>
    <row r="415" spans="1:38" x14ac:dyDescent="0.25">
      <c r="A415" s="1">
        <v>100</v>
      </c>
      <c r="B415" s="1" t="s">
        <v>305</v>
      </c>
      <c r="C415" s="1" t="s">
        <v>62</v>
      </c>
      <c r="D415" s="1" t="s">
        <v>236</v>
      </c>
      <c r="E415" s="1" t="s">
        <v>237</v>
      </c>
      <c r="F415" s="1">
        <v>11</v>
      </c>
      <c r="G415" s="1" t="s">
        <v>238</v>
      </c>
      <c r="H415" s="8">
        <v>11</v>
      </c>
      <c r="J415" s="1" t="s">
        <v>241</v>
      </c>
      <c r="K415" s="1" t="s">
        <v>242</v>
      </c>
      <c r="O415" s="11">
        <v>90000000</v>
      </c>
      <c r="Q415" s="1" t="s">
        <v>35</v>
      </c>
      <c r="R415" s="1" t="s">
        <v>36</v>
      </c>
      <c r="W415" s="1" t="s">
        <v>42</v>
      </c>
      <c r="Y415" s="1" t="s">
        <v>37</v>
      </c>
      <c r="AA415" s="12" t="s">
        <v>315</v>
      </c>
      <c r="AB415" s="1" t="s">
        <v>316</v>
      </c>
      <c r="AC415" s="12" t="s">
        <v>138</v>
      </c>
      <c r="AD415" s="77">
        <v>0.06</v>
      </c>
      <c r="AE415" s="14" t="s">
        <v>53</v>
      </c>
      <c r="AF415" s="15"/>
      <c r="AG415" s="1">
        <v>6030000150</v>
      </c>
      <c r="AH415" s="1" t="s">
        <v>243</v>
      </c>
      <c r="AI415" s="1" t="s">
        <v>44</v>
      </c>
      <c r="AL415" s="1" t="str">
        <f t="shared" si="7"/>
        <v>"Max fac (meerdaagse)","","","90000000","","unspsc","M","","","","","K","","A010","","9015AA","6030000150","False",""</v>
      </c>
    </row>
    <row r="416" spans="1:38" x14ac:dyDescent="0.25">
      <c r="A416" s="1">
        <v>100</v>
      </c>
      <c r="C416" s="1" t="s">
        <v>62</v>
      </c>
      <c r="D416" s="1" t="s">
        <v>295</v>
      </c>
      <c r="E416" s="1" t="s">
        <v>237</v>
      </c>
      <c r="F416" s="1">
        <v>11</v>
      </c>
      <c r="G416" s="1" t="s">
        <v>238</v>
      </c>
      <c r="H416" s="8">
        <v>6</v>
      </c>
      <c r="J416" s="1" t="s">
        <v>108</v>
      </c>
      <c r="K416" s="1" t="s">
        <v>242</v>
      </c>
      <c r="O416" s="11">
        <v>90000000</v>
      </c>
      <c r="Q416" s="1" t="s">
        <v>35</v>
      </c>
      <c r="R416" s="1" t="s">
        <v>36</v>
      </c>
      <c r="W416" s="1" t="s">
        <v>42</v>
      </c>
      <c r="Y416" s="1" t="s">
        <v>37</v>
      </c>
      <c r="AA416" s="12" t="s">
        <v>315</v>
      </c>
      <c r="AB416" s="1" t="s">
        <v>316</v>
      </c>
      <c r="AC416" s="12" t="s">
        <v>138</v>
      </c>
      <c r="AD416" s="13">
        <v>0.06</v>
      </c>
      <c r="AE416" s="14" t="s">
        <v>53</v>
      </c>
      <c r="AF416" s="15"/>
      <c r="AG416" s="1">
        <v>6030000200</v>
      </c>
      <c r="AH416" s="1" t="s">
        <v>109</v>
      </c>
      <c r="AI416" s="1" t="s">
        <v>44</v>
      </c>
      <c r="AL416" s="1" t="str">
        <f t="shared" si="7"/>
        <v>"Doorverkoop onderwijs (niet max fac)","","","90000000","","unspsc","M","","","","","K","","A010","","9015AA","6030000200","False",""</v>
      </c>
    </row>
    <row r="417" spans="1:45" x14ac:dyDescent="0.25">
      <c r="A417" s="1">
        <v>100</v>
      </c>
      <c r="B417" s="2"/>
      <c r="C417" s="1" t="s">
        <v>62</v>
      </c>
      <c r="D417" s="1" t="s">
        <v>295</v>
      </c>
      <c r="E417" s="1" t="s">
        <v>237</v>
      </c>
      <c r="F417" s="2">
        <v>11</v>
      </c>
      <c r="G417" s="2" t="s">
        <v>238</v>
      </c>
      <c r="J417" s="2" t="s">
        <v>33</v>
      </c>
      <c r="K417" s="2" t="s">
        <v>242</v>
      </c>
      <c r="O417" s="3">
        <v>90000000</v>
      </c>
      <c r="Q417" s="1" t="s">
        <v>35</v>
      </c>
      <c r="R417" s="1" t="s">
        <v>36</v>
      </c>
      <c r="Y417" s="1" t="s">
        <v>37</v>
      </c>
      <c r="Z417" s="2"/>
      <c r="AA417" s="4" t="s">
        <v>317</v>
      </c>
      <c r="AB417" s="2" t="s">
        <v>318</v>
      </c>
      <c r="AC417" s="5" t="s">
        <v>52</v>
      </c>
      <c r="AD417" s="9">
        <v>0</v>
      </c>
      <c r="AE417" s="10" t="s">
        <v>53</v>
      </c>
      <c r="AF417" s="7"/>
      <c r="AG417" s="2"/>
      <c r="AH417" s="2"/>
      <c r="AI417" s="2" t="s">
        <v>40</v>
      </c>
      <c r="AJ417" s="2"/>
      <c r="AK417" s="2"/>
      <c r="AL417" s="1" t="str">
        <f t="shared" si="7"/>
        <v>"Maak je keuze","","","90000000","","unspsc","M","","","","","","","A010","","9015CC","","True",""</v>
      </c>
    </row>
    <row r="418" spans="1:45" x14ac:dyDescent="0.25">
      <c r="A418" s="1">
        <v>100</v>
      </c>
      <c r="C418" s="1" t="s">
        <v>62</v>
      </c>
      <c r="D418" s="1" t="s">
        <v>295</v>
      </c>
      <c r="E418" s="1" t="s">
        <v>237</v>
      </c>
      <c r="F418" s="1">
        <v>11</v>
      </c>
      <c r="G418" s="1" t="s">
        <v>238</v>
      </c>
      <c r="H418" s="8">
        <v>1</v>
      </c>
      <c r="J418" s="1" t="s">
        <v>170</v>
      </c>
      <c r="K418" s="1" t="s">
        <v>242</v>
      </c>
      <c r="O418" s="11">
        <v>90000000</v>
      </c>
      <c r="Q418" s="1" t="s">
        <v>35</v>
      </c>
      <c r="R418" s="1" t="s">
        <v>36</v>
      </c>
      <c r="W418" s="1" t="s">
        <v>42</v>
      </c>
      <c r="Y418" s="1" t="s">
        <v>37</v>
      </c>
      <c r="AA418" s="12" t="s">
        <v>317</v>
      </c>
      <c r="AB418" s="1" t="s">
        <v>318</v>
      </c>
      <c r="AC418" s="12" t="s">
        <v>52</v>
      </c>
      <c r="AD418" s="13">
        <v>0</v>
      </c>
      <c r="AE418" s="14" t="s">
        <v>53</v>
      </c>
      <c r="AF418" s="15"/>
      <c r="AG418" s="1">
        <v>6161000100</v>
      </c>
      <c r="AH418" s="1" t="s">
        <v>246</v>
      </c>
      <c r="AI418" s="1" t="s">
        <v>44</v>
      </c>
      <c r="AL418" s="1" t="str">
        <f t="shared" si="7"/>
        <v>"(Verbruik) Personeel / leerlingen","","","90000000","","unspsc","M","","","","","K","","A010","","9015CC","6161000100","False",""</v>
      </c>
    </row>
    <row r="419" spans="1:45" x14ac:dyDescent="0.25">
      <c r="A419" s="1">
        <v>100</v>
      </c>
      <c r="B419" s="1" t="s">
        <v>305</v>
      </c>
      <c r="C419" s="1" t="s">
        <v>62</v>
      </c>
      <c r="D419" s="1" t="s">
        <v>236</v>
      </c>
      <c r="E419" s="1" t="s">
        <v>237</v>
      </c>
      <c r="F419" s="1">
        <v>11</v>
      </c>
      <c r="G419" s="1" t="s">
        <v>238</v>
      </c>
      <c r="H419" s="8">
        <v>11</v>
      </c>
      <c r="J419" s="1" t="s">
        <v>241</v>
      </c>
      <c r="K419" s="1" t="s">
        <v>242</v>
      </c>
      <c r="O419" s="11">
        <v>90000000</v>
      </c>
      <c r="Q419" s="1" t="s">
        <v>35</v>
      </c>
      <c r="R419" s="1" t="s">
        <v>36</v>
      </c>
      <c r="W419" s="1" t="s">
        <v>42</v>
      </c>
      <c r="Y419" s="1" t="s">
        <v>37</v>
      </c>
      <c r="AA419" s="12" t="s">
        <v>317</v>
      </c>
      <c r="AB419" s="1" t="s">
        <v>318</v>
      </c>
      <c r="AC419" s="12" t="s">
        <v>52</v>
      </c>
      <c r="AD419" s="77">
        <v>0</v>
      </c>
      <c r="AE419" s="14" t="s">
        <v>53</v>
      </c>
      <c r="AF419" s="15"/>
      <c r="AG419" s="1">
        <v>6030000150</v>
      </c>
      <c r="AH419" s="1" t="s">
        <v>243</v>
      </c>
      <c r="AI419" s="1" t="s">
        <v>44</v>
      </c>
      <c r="AL419" s="1" t="str">
        <f t="shared" si="7"/>
        <v>"Max fac (meerdaagse)","","","90000000","","unspsc","M","","","","","K","","A010","","9015CC","6030000150","False",""</v>
      </c>
    </row>
    <row r="420" spans="1:45" x14ac:dyDescent="0.25">
      <c r="A420" s="1">
        <v>100</v>
      </c>
      <c r="B420" s="1" t="s">
        <v>247</v>
      </c>
      <c r="C420" s="1" t="s">
        <v>62</v>
      </c>
      <c r="D420" s="1" t="s">
        <v>295</v>
      </c>
      <c r="E420" s="1" t="s">
        <v>237</v>
      </c>
      <c r="F420" s="1">
        <v>11</v>
      </c>
      <c r="G420" s="1" t="s">
        <v>238</v>
      </c>
      <c r="H420" s="8">
        <v>6</v>
      </c>
      <c r="J420" s="1" t="s">
        <v>108</v>
      </c>
      <c r="K420" s="1" t="s">
        <v>242</v>
      </c>
      <c r="O420" s="11">
        <v>90000000</v>
      </c>
      <c r="Q420" s="1" t="s">
        <v>35</v>
      </c>
      <c r="R420" s="1" t="s">
        <v>36</v>
      </c>
      <c r="W420" s="1" t="s">
        <v>42</v>
      </c>
      <c r="Y420" s="1" t="s">
        <v>37</v>
      </c>
      <c r="AA420" s="12" t="s">
        <v>317</v>
      </c>
      <c r="AB420" s="1" t="s">
        <v>318</v>
      </c>
      <c r="AC420" s="12" t="s">
        <v>52</v>
      </c>
      <c r="AD420" s="13">
        <v>0</v>
      </c>
      <c r="AE420" s="14" t="s">
        <v>53</v>
      </c>
      <c r="AF420" s="15"/>
      <c r="AG420" s="1">
        <v>6030000200</v>
      </c>
      <c r="AH420" s="1" t="s">
        <v>109</v>
      </c>
      <c r="AI420" s="1" t="s">
        <v>44</v>
      </c>
      <c r="AL420" s="1" t="str">
        <f t="shared" si="7"/>
        <v>"Doorverkoop onderwijs (niet max fac)","","","90000000","","unspsc","M","","","","","K","","A010","","9015CC","6030000200","False",""</v>
      </c>
    </row>
    <row r="421" spans="1:45" x14ac:dyDescent="0.25">
      <c r="A421" s="1">
        <v>100</v>
      </c>
      <c r="B421" s="2"/>
      <c r="C421" s="1" t="s">
        <v>31</v>
      </c>
      <c r="F421" s="2">
        <v>3</v>
      </c>
      <c r="G421" s="2" t="s">
        <v>148</v>
      </c>
      <c r="J421" s="2" t="s">
        <v>33</v>
      </c>
      <c r="K421" s="2" t="s">
        <v>187</v>
      </c>
      <c r="O421" s="3">
        <v>91000000</v>
      </c>
      <c r="Q421" s="1" t="s">
        <v>35</v>
      </c>
      <c r="R421" s="1" t="s">
        <v>36</v>
      </c>
      <c r="Y421" s="1" t="s">
        <v>37</v>
      </c>
      <c r="Z421" s="2"/>
      <c r="AA421" s="4">
        <v>91111502</v>
      </c>
      <c r="AB421" s="2" t="s">
        <v>319</v>
      </c>
      <c r="AC421" s="5" t="s">
        <v>65</v>
      </c>
      <c r="AD421" s="9">
        <v>0.21</v>
      </c>
      <c r="AE421" s="10" t="s">
        <v>39</v>
      </c>
      <c r="AF421" s="7"/>
      <c r="AG421" s="2"/>
      <c r="AH421" s="2"/>
      <c r="AI421" s="2" t="s">
        <v>40</v>
      </c>
      <c r="AJ421" s="2"/>
      <c r="AK421" s="2"/>
      <c r="AL421" s="1" t="str">
        <f t="shared" si="7"/>
        <v>"Maak je keuze","","","91000000","","unspsc","M","","","","","","","A010","","91111502","","True",""</v>
      </c>
    </row>
    <row r="422" spans="1:45" x14ac:dyDescent="0.25">
      <c r="A422" s="1">
        <v>100</v>
      </c>
      <c r="C422" s="1" t="s">
        <v>31</v>
      </c>
      <c r="F422" s="1">
        <v>3</v>
      </c>
      <c r="G422" s="1" t="s">
        <v>148</v>
      </c>
      <c r="H422" s="8">
        <v>2</v>
      </c>
      <c r="J422" s="1" t="s">
        <v>57</v>
      </c>
      <c r="K422" s="1" t="s">
        <v>187</v>
      </c>
      <c r="O422" s="11">
        <v>91000000</v>
      </c>
      <c r="Q422" s="1" t="s">
        <v>35</v>
      </c>
      <c r="R422" s="1" t="s">
        <v>36</v>
      </c>
      <c r="W422" s="1" t="s">
        <v>42</v>
      </c>
      <c r="Y422" s="1" t="s">
        <v>37</v>
      </c>
      <c r="AA422" s="12">
        <v>91111502</v>
      </c>
      <c r="AB422" s="1" t="s">
        <v>319</v>
      </c>
      <c r="AC422" s="12" t="s">
        <v>65</v>
      </c>
      <c r="AD422" s="13">
        <v>0.21</v>
      </c>
      <c r="AE422" s="14" t="s">
        <v>39</v>
      </c>
      <c r="AF422" s="15"/>
      <c r="AG422" s="1">
        <v>6030000300</v>
      </c>
      <c r="AH422" s="1" t="s">
        <v>58</v>
      </c>
      <c r="AI422" s="1" t="s">
        <v>44</v>
      </c>
      <c r="AL422" s="1" t="str">
        <f t="shared" si="7"/>
        <v>"Aankoop voor doorverkoop niet onderwijs","","","91000000","","unspsc","M","","","","","K","","A010","","91111502","6030000300","False",""</v>
      </c>
    </row>
    <row r="423" spans="1:45" x14ac:dyDescent="0.25">
      <c r="A423" s="1">
        <v>100</v>
      </c>
      <c r="C423" s="1" t="s">
        <v>31</v>
      </c>
      <c r="F423" s="1">
        <v>3</v>
      </c>
      <c r="G423" s="1" t="s">
        <v>148</v>
      </c>
      <c r="H423" s="8">
        <v>3</v>
      </c>
      <c r="J423" s="1" t="s">
        <v>45</v>
      </c>
      <c r="K423" s="1" t="s">
        <v>187</v>
      </c>
      <c r="O423" s="11">
        <v>91000000</v>
      </c>
      <c r="Q423" s="1" t="s">
        <v>35</v>
      </c>
      <c r="R423" s="1" t="s">
        <v>36</v>
      </c>
      <c r="W423" s="1" t="s">
        <v>42</v>
      </c>
      <c r="Y423" s="1" t="s">
        <v>37</v>
      </c>
      <c r="AA423" s="12">
        <v>91111502</v>
      </c>
      <c r="AB423" s="1" t="s">
        <v>319</v>
      </c>
      <c r="AC423" s="12" t="s">
        <v>65</v>
      </c>
      <c r="AD423" s="13">
        <v>0.21</v>
      </c>
      <c r="AE423" s="14" t="s">
        <v>39</v>
      </c>
      <c r="AF423" s="15"/>
      <c r="AG423" s="1">
        <v>6161000200</v>
      </c>
      <c r="AH423" s="1" t="s">
        <v>45</v>
      </c>
      <c r="AI423" s="1" t="s">
        <v>44</v>
      </c>
      <c r="AL423" s="1" t="str">
        <f t="shared" si="7"/>
        <v>"Didactisch materiaal","","","91000000","","unspsc","M","","","","","K","","A010","","91111502","6161000200","False",""</v>
      </c>
    </row>
    <row r="424" spans="1:45" x14ac:dyDescent="0.25">
      <c r="A424" s="1">
        <v>200</v>
      </c>
      <c r="C424" s="1" t="s">
        <v>31</v>
      </c>
      <c r="F424" s="1">
        <v>1</v>
      </c>
      <c r="G424" s="1" t="s">
        <v>156</v>
      </c>
      <c r="H424" s="8">
        <v>17</v>
      </c>
      <c r="J424" s="1" t="s">
        <v>41</v>
      </c>
      <c r="K424" s="1" t="s">
        <v>320</v>
      </c>
      <c r="O424" s="11">
        <v>48000000</v>
      </c>
      <c r="Q424" s="1" t="s">
        <v>35</v>
      </c>
      <c r="R424" s="1" t="s">
        <v>36</v>
      </c>
      <c r="W424" s="1" t="s">
        <v>42</v>
      </c>
      <c r="Y424" s="1" t="s">
        <v>37</v>
      </c>
      <c r="AA424" s="84">
        <v>48101702</v>
      </c>
      <c r="AB424" s="1" t="s">
        <v>321</v>
      </c>
      <c r="AC424" s="12" t="s">
        <v>91</v>
      </c>
      <c r="AD424" s="13">
        <v>0.21</v>
      </c>
      <c r="AE424" s="14" t="s">
        <v>53</v>
      </c>
      <c r="AF424" s="15"/>
      <c r="AG424" s="1">
        <v>6141000100</v>
      </c>
      <c r="AH424" s="1" t="s">
        <v>92</v>
      </c>
      <c r="AI424" s="17" t="s">
        <v>40</v>
      </c>
      <c r="AL424" s="1" t="str">
        <f t="shared" si="7"/>
        <v>"Operationele werking","","","48000000","","unspsc","M","","","","","K","","A010","","48101702","6141000100","True",""</v>
      </c>
    </row>
    <row r="425" spans="1:45" x14ac:dyDescent="0.25">
      <c r="A425" s="1">
        <v>200</v>
      </c>
      <c r="C425" s="1" t="s">
        <v>31</v>
      </c>
      <c r="F425" s="1">
        <v>1</v>
      </c>
      <c r="G425" s="1" t="s">
        <v>156</v>
      </c>
      <c r="H425" s="8">
        <v>17</v>
      </c>
      <c r="J425" s="1" t="s">
        <v>41</v>
      </c>
      <c r="K425" s="1" t="s">
        <v>320</v>
      </c>
      <c r="O425" s="11">
        <v>48000000</v>
      </c>
      <c r="Q425" s="1" t="s">
        <v>35</v>
      </c>
      <c r="R425" s="1" t="s">
        <v>36</v>
      </c>
      <c r="W425" s="1" t="s">
        <v>42</v>
      </c>
      <c r="Y425" s="1" t="s">
        <v>37</v>
      </c>
      <c r="AA425" s="84">
        <v>481017</v>
      </c>
      <c r="AB425" s="1" t="s">
        <v>322</v>
      </c>
      <c r="AC425" s="12" t="s">
        <v>138</v>
      </c>
      <c r="AD425" s="13">
        <v>0.06</v>
      </c>
      <c r="AE425" s="14" t="s">
        <v>53</v>
      </c>
      <c r="AF425" s="15"/>
      <c r="AG425" s="1">
        <v>6152000300</v>
      </c>
      <c r="AH425" s="1" t="s">
        <v>43</v>
      </c>
      <c r="AI425" s="17" t="s">
        <v>40</v>
      </c>
      <c r="AL425" s="1" t="str">
        <f t="shared" si="7"/>
        <v>"Operationele werking","","","48000000","","unspsc","M","","","","","K","","A010","","481017","6152000300","True",""</v>
      </c>
      <c r="AM425" s="2"/>
      <c r="AN425" s="2"/>
      <c r="AO425" s="2"/>
      <c r="AP425" s="2"/>
      <c r="AQ425" s="2"/>
      <c r="AR425" s="2"/>
      <c r="AS425" s="2"/>
    </row>
    <row r="426" spans="1:45" x14ac:dyDescent="0.25">
      <c r="A426" s="1">
        <v>200</v>
      </c>
      <c r="C426" s="1" t="s">
        <v>31</v>
      </c>
      <c r="E426" s="1" t="s">
        <v>323</v>
      </c>
      <c r="F426" s="1">
        <v>1</v>
      </c>
      <c r="G426" s="1" t="s">
        <v>156</v>
      </c>
      <c r="H426" s="8">
        <v>2</v>
      </c>
      <c r="J426" s="1" t="s">
        <v>57</v>
      </c>
      <c r="K426" s="1" t="s">
        <v>165</v>
      </c>
      <c r="O426" s="11">
        <v>50000000</v>
      </c>
      <c r="Q426" s="1" t="s">
        <v>35</v>
      </c>
      <c r="R426" s="1" t="s">
        <v>36</v>
      </c>
      <c r="W426" s="1" t="s">
        <v>42</v>
      </c>
      <c r="Y426" s="1" t="s">
        <v>37</v>
      </c>
      <c r="AA426" s="84">
        <v>501925</v>
      </c>
      <c r="AB426" s="1" t="s">
        <v>324</v>
      </c>
      <c r="AC426" s="12" t="s">
        <v>38</v>
      </c>
      <c r="AD426" s="13">
        <v>0.06</v>
      </c>
      <c r="AE426" s="14" t="s">
        <v>39</v>
      </c>
      <c r="AG426" s="1">
        <v>6030000300</v>
      </c>
      <c r="AH426" s="1" t="s">
        <v>58</v>
      </c>
      <c r="AI426" s="17" t="s">
        <v>40</v>
      </c>
      <c r="AL426" s="1" t="str">
        <f t="shared" si="7"/>
        <v>"Aankoop voor doorverkoop niet onderwijs","","","50000000","","unspsc","M","","","","","K","","A010","","501925","6030000300","True",""</v>
      </c>
    </row>
    <row r="427" spans="1:45" x14ac:dyDescent="0.25">
      <c r="A427" s="1">
        <v>200</v>
      </c>
      <c r="C427" s="1" t="s">
        <v>31</v>
      </c>
      <c r="E427" s="1" t="s">
        <v>323</v>
      </c>
      <c r="F427" s="1">
        <v>1</v>
      </c>
      <c r="G427" s="1" t="s">
        <v>156</v>
      </c>
      <c r="H427" s="8">
        <v>2</v>
      </c>
      <c r="J427" s="1" t="s">
        <v>57</v>
      </c>
      <c r="K427" s="1" t="s">
        <v>165</v>
      </c>
      <c r="O427" s="11">
        <v>50000000</v>
      </c>
      <c r="Q427" s="1" t="s">
        <v>35</v>
      </c>
      <c r="R427" s="1" t="s">
        <v>36</v>
      </c>
      <c r="W427" s="1" t="s">
        <v>42</v>
      </c>
      <c r="Y427" s="1" t="s">
        <v>37</v>
      </c>
      <c r="AA427" s="84">
        <v>501921</v>
      </c>
      <c r="AB427" s="1" t="s">
        <v>325</v>
      </c>
      <c r="AC427" s="12" t="s">
        <v>38</v>
      </c>
      <c r="AD427" s="13">
        <v>0.06</v>
      </c>
      <c r="AE427" s="14" t="s">
        <v>39</v>
      </c>
      <c r="AG427" s="1">
        <v>6030000300</v>
      </c>
      <c r="AH427" s="1" t="s">
        <v>58</v>
      </c>
      <c r="AI427" s="17" t="s">
        <v>40</v>
      </c>
      <c r="AL427" s="1" t="str">
        <f t="shared" si="7"/>
        <v>"Aankoop voor doorverkoop niet onderwijs","","","50000000","","unspsc","M","","","","","K","","A010","","501921","6030000300","True",""</v>
      </c>
    </row>
    <row r="428" spans="1:45" x14ac:dyDescent="0.25">
      <c r="A428" s="1">
        <v>200</v>
      </c>
      <c r="C428" s="1" t="s">
        <v>31</v>
      </c>
      <c r="E428" s="1" t="s">
        <v>323</v>
      </c>
      <c r="F428" s="1">
        <v>1</v>
      </c>
      <c r="G428" s="1" t="s">
        <v>156</v>
      </c>
      <c r="H428" s="8">
        <v>2</v>
      </c>
      <c r="J428" s="1" t="s">
        <v>57</v>
      </c>
      <c r="K428" s="1" t="s">
        <v>165</v>
      </c>
      <c r="O428" s="11">
        <v>50000000</v>
      </c>
      <c r="Q428" s="1" t="s">
        <v>35</v>
      </c>
      <c r="R428" s="1" t="s">
        <v>36</v>
      </c>
      <c r="W428" s="1" t="s">
        <v>42</v>
      </c>
      <c r="Y428" s="1" t="s">
        <v>37</v>
      </c>
      <c r="AA428" s="84">
        <v>501915</v>
      </c>
      <c r="AB428" s="1" t="s">
        <v>326</v>
      </c>
      <c r="AC428" s="12" t="s">
        <v>38</v>
      </c>
      <c r="AD428" s="13">
        <v>0.06</v>
      </c>
      <c r="AE428" s="14" t="s">
        <v>39</v>
      </c>
      <c r="AG428" s="1">
        <v>6030000300</v>
      </c>
      <c r="AH428" s="1" t="s">
        <v>58</v>
      </c>
      <c r="AI428" s="17" t="s">
        <v>40</v>
      </c>
      <c r="AL428" s="1" t="str">
        <f t="shared" si="7"/>
        <v>"Aankoop voor doorverkoop niet onderwijs","","","50000000","","unspsc","M","","","","","K","","A010","","501915","6030000300","True",""</v>
      </c>
      <c r="AM428" s="2"/>
      <c r="AN428" s="2"/>
      <c r="AO428" s="2"/>
      <c r="AP428" s="2"/>
      <c r="AQ428" s="2"/>
      <c r="AR428" s="2"/>
      <c r="AS428" s="2"/>
    </row>
    <row r="429" spans="1:45" x14ac:dyDescent="0.25">
      <c r="A429" s="1">
        <v>200</v>
      </c>
      <c r="C429" s="1" t="s">
        <v>31</v>
      </c>
      <c r="E429" s="1" t="s">
        <v>327</v>
      </c>
      <c r="F429" s="1">
        <v>2</v>
      </c>
      <c r="G429" s="1" t="s">
        <v>105</v>
      </c>
      <c r="H429" s="8">
        <v>17</v>
      </c>
      <c r="J429" s="1" t="s">
        <v>41</v>
      </c>
      <c r="K429" s="1" t="s">
        <v>146</v>
      </c>
      <c r="O429" s="11">
        <v>24000000</v>
      </c>
      <c r="Q429" s="1" t="s">
        <v>35</v>
      </c>
      <c r="R429" s="1" t="s">
        <v>36</v>
      </c>
      <c r="W429" s="1" t="s">
        <v>42</v>
      </c>
      <c r="Y429" s="1" t="s">
        <v>37</v>
      </c>
      <c r="AA429" s="84">
        <v>2411</v>
      </c>
      <c r="AB429" s="1" t="s">
        <v>328</v>
      </c>
      <c r="AC429" s="12" t="s">
        <v>65</v>
      </c>
      <c r="AD429" s="13">
        <v>0.21</v>
      </c>
      <c r="AE429" s="14" t="s">
        <v>39</v>
      </c>
      <c r="AG429" s="1">
        <v>6146000900</v>
      </c>
      <c r="AH429" s="1" t="s">
        <v>56</v>
      </c>
      <c r="AI429" s="17" t="s">
        <v>40</v>
      </c>
      <c r="AL429" s="1" t="str">
        <f t="shared" si="7"/>
        <v>"Operationele werking","","","24000000","","unspsc","M","","","","","K","","A010","","2411","6146000900","True",""</v>
      </c>
      <c r="AM429" s="2"/>
      <c r="AN429" s="2"/>
      <c r="AO429" s="2"/>
      <c r="AP429" s="2"/>
      <c r="AQ429" s="2"/>
      <c r="AR429" s="2"/>
      <c r="AS429" s="2"/>
    </row>
    <row r="430" spans="1:45" x14ac:dyDescent="0.25">
      <c r="A430" s="1">
        <v>200</v>
      </c>
      <c r="C430" s="1" t="s">
        <v>31</v>
      </c>
      <c r="E430" s="1" t="s">
        <v>327</v>
      </c>
      <c r="F430" s="1">
        <v>2</v>
      </c>
      <c r="G430" s="1" t="s">
        <v>105</v>
      </c>
      <c r="H430" s="8">
        <v>17</v>
      </c>
      <c r="J430" s="1" t="s">
        <v>41</v>
      </c>
      <c r="K430" s="1" t="s">
        <v>146</v>
      </c>
      <c r="O430" s="11">
        <v>24000000</v>
      </c>
      <c r="Q430" s="1" t="s">
        <v>35</v>
      </c>
      <c r="R430" s="1" t="s">
        <v>36</v>
      </c>
      <c r="W430" s="1" t="s">
        <v>42</v>
      </c>
      <c r="Y430" s="1" t="s">
        <v>37</v>
      </c>
      <c r="AA430" s="84" t="s">
        <v>329</v>
      </c>
      <c r="AB430" s="1" t="s">
        <v>330</v>
      </c>
      <c r="AC430" s="12" t="s">
        <v>104</v>
      </c>
      <c r="AD430" s="13">
        <v>0.21</v>
      </c>
      <c r="AE430" s="14" t="s">
        <v>39</v>
      </c>
      <c r="AG430" s="1">
        <v>6146000900</v>
      </c>
      <c r="AH430" s="1" t="s">
        <v>56</v>
      </c>
      <c r="AI430" s="17" t="s">
        <v>40</v>
      </c>
      <c r="AL430" s="1" t="str">
        <f t="shared" si="7"/>
        <v>"Operationele werking","","","24000000","","unspsc","M","","","","","K","","A010","","2411X","6146000900","True",""</v>
      </c>
    </row>
    <row r="431" spans="1:45" x14ac:dyDescent="0.25">
      <c r="A431" s="1">
        <v>200</v>
      </c>
      <c r="C431" s="1" t="s">
        <v>31</v>
      </c>
      <c r="E431" s="1" t="s">
        <v>327</v>
      </c>
      <c r="F431" s="1">
        <v>2</v>
      </c>
      <c r="G431" s="1" t="s">
        <v>105</v>
      </c>
      <c r="H431" s="8">
        <v>17</v>
      </c>
      <c r="J431" s="1" t="s">
        <v>41</v>
      </c>
      <c r="K431" s="1" t="s">
        <v>106</v>
      </c>
      <c r="O431" s="11">
        <v>44000000</v>
      </c>
      <c r="Q431" s="1" t="s">
        <v>35</v>
      </c>
      <c r="R431" s="1" t="s">
        <v>36</v>
      </c>
      <c r="W431" s="1" t="s">
        <v>42</v>
      </c>
      <c r="Y431" s="1" t="s">
        <v>37</v>
      </c>
      <c r="AA431" s="84">
        <v>441031</v>
      </c>
      <c r="AB431" s="1" t="s">
        <v>331</v>
      </c>
      <c r="AC431" s="12" t="s">
        <v>65</v>
      </c>
      <c r="AD431" s="13">
        <v>0.21</v>
      </c>
      <c r="AE431" s="14" t="s">
        <v>39</v>
      </c>
      <c r="AG431" s="1">
        <v>6146000900</v>
      </c>
      <c r="AH431" s="1" t="s">
        <v>56</v>
      </c>
      <c r="AI431" s="17" t="s">
        <v>40</v>
      </c>
      <c r="AL431" s="1" t="str">
        <f t="shared" si="7"/>
        <v>"Operationele werking","","","44000000","","unspsc","M","","","","","K","","A010","","441031","6146000900","True",""</v>
      </c>
      <c r="AM431" s="2"/>
      <c r="AN431" s="2"/>
      <c r="AO431" s="2"/>
      <c r="AP431" s="2"/>
      <c r="AQ431" s="2"/>
      <c r="AR431" s="2"/>
      <c r="AS431" s="2"/>
    </row>
    <row r="432" spans="1:45" x14ac:dyDescent="0.25">
      <c r="A432" s="1">
        <v>200</v>
      </c>
      <c r="C432" s="1" t="s">
        <v>31</v>
      </c>
      <c r="E432" s="1" t="s">
        <v>327</v>
      </c>
      <c r="F432" s="1">
        <v>2</v>
      </c>
      <c r="G432" s="1" t="s">
        <v>105</v>
      </c>
      <c r="H432" s="8">
        <v>17</v>
      </c>
      <c r="J432" s="1" t="s">
        <v>41</v>
      </c>
      <c r="K432" s="1" t="s">
        <v>106</v>
      </c>
      <c r="O432" s="11">
        <v>44000000</v>
      </c>
      <c r="Q432" s="1" t="s">
        <v>35</v>
      </c>
      <c r="R432" s="1" t="s">
        <v>36</v>
      </c>
      <c r="W432" s="1" t="s">
        <v>42</v>
      </c>
      <c r="Y432" s="1" t="s">
        <v>37</v>
      </c>
      <c r="AA432" s="84" t="s">
        <v>332</v>
      </c>
      <c r="AB432" s="1" t="s">
        <v>333</v>
      </c>
      <c r="AC432" s="12" t="s">
        <v>104</v>
      </c>
      <c r="AD432" s="13">
        <v>0.21</v>
      </c>
      <c r="AE432" s="14" t="s">
        <v>39</v>
      </c>
      <c r="AG432" s="1">
        <v>6146000900</v>
      </c>
      <c r="AH432" s="1" t="s">
        <v>56</v>
      </c>
      <c r="AI432" s="17" t="s">
        <v>40</v>
      </c>
      <c r="AL432" s="1" t="str">
        <f t="shared" si="7"/>
        <v>"Operationele werking","","","44000000","","unspsc","M","","","","","K","","A010","","441031X","6146000900","True",""</v>
      </c>
    </row>
    <row r="433" spans="1:45" x14ac:dyDescent="0.25">
      <c r="A433" s="1">
        <v>200</v>
      </c>
      <c r="C433" s="1" t="s">
        <v>31</v>
      </c>
      <c r="E433" s="1" t="s">
        <v>327</v>
      </c>
      <c r="F433" s="1">
        <v>2</v>
      </c>
      <c r="G433" s="1" t="s">
        <v>105</v>
      </c>
      <c r="H433" s="8">
        <v>17</v>
      </c>
      <c r="J433" s="1" t="s">
        <v>41</v>
      </c>
      <c r="K433" s="1" t="s">
        <v>106</v>
      </c>
      <c r="O433" s="11">
        <v>44000000</v>
      </c>
      <c r="Q433" s="1" t="s">
        <v>35</v>
      </c>
      <c r="R433" s="1" t="s">
        <v>36</v>
      </c>
      <c r="W433" s="1" t="s">
        <v>42</v>
      </c>
      <c r="Y433" s="1" t="s">
        <v>37</v>
      </c>
      <c r="AA433" s="84">
        <v>441215</v>
      </c>
      <c r="AB433" s="1" t="s">
        <v>334</v>
      </c>
      <c r="AC433" s="12" t="s">
        <v>91</v>
      </c>
      <c r="AD433" s="13">
        <v>0.21</v>
      </c>
      <c r="AE433" s="14" t="s">
        <v>53</v>
      </c>
      <c r="AG433" s="1">
        <v>6146000700</v>
      </c>
      <c r="AH433" s="1" t="s">
        <v>335</v>
      </c>
      <c r="AI433" s="17" t="s">
        <v>40</v>
      </c>
      <c r="AL433" s="1" t="str">
        <f t="shared" si="7"/>
        <v>"Operationele werking","","","44000000","","unspsc","M","","","","","K","","A010","","441215","6146000700","True",""</v>
      </c>
    </row>
    <row r="434" spans="1:45" x14ac:dyDescent="0.25">
      <c r="A434" s="1">
        <v>200</v>
      </c>
      <c r="C434" s="1" t="s">
        <v>31</v>
      </c>
      <c r="E434" s="1" t="s">
        <v>327</v>
      </c>
      <c r="F434" s="1">
        <v>2</v>
      </c>
      <c r="G434" s="1" t="s">
        <v>105</v>
      </c>
      <c r="H434" s="8">
        <v>17</v>
      </c>
      <c r="J434" s="1" t="s">
        <v>41</v>
      </c>
      <c r="K434" s="1" t="s">
        <v>146</v>
      </c>
      <c r="O434" s="11">
        <v>47000000</v>
      </c>
      <c r="Q434" s="1" t="s">
        <v>35</v>
      </c>
      <c r="R434" s="1" t="s">
        <v>36</v>
      </c>
      <c r="W434" s="1" t="s">
        <v>42</v>
      </c>
      <c r="Y434" s="1" t="s">
        <v>37</v>
      </c>
      <c r="AA434" s="84">
        <v>471318</v>
      </c>
      <c r="AB434" s="1" t="s">
        <v>336</v>
      </c>
      <c r="AC434" s="12" t="s">
        <v>65</v>
      </c>
      <c r="AD434" s="13">
        <v>0.21</v>
      </c>
      <c r="AE434" s="14" t="s">
        <v>39</v>
      </c>
      <c r="AG434" s="1">
        <v>6145000100</v>
      </c>
      <c r="AH434" s="1" t="s">
        <v>144</v>
      </c>
      <c r="AI434" s="17" t="s">
        <v>40</v>
      </c>
      <c r="AL434" s="1" t="str">
        <f t="shared" si="7"/>
        <v>"Operationele werking","","","47000000","","unspsc","M","","","","","K","","A010","","471318","6145000100","True",""</v>
      </c>
    </row>
    <row r="435" spans="1:45" x14ac:dyDescent="0.25">
      <c r="A435" s="1">
        <v>200</v>
      </c>
      <c r="C435" s="1" t="s">
        <v>31</v>
      </c>
      <c r="E435" s="1" t="s">
        <v>327</v>
      </c>
      <c r="F435" s="1">
        <v>2</v>
      </c>
      <c r="G435" s="1" t="s">
        <v>105</v>
      </c>
      <c r="H435" s="8">
        <v>17</v>
      </c>
      <c r="J435" s="1" t="s">
        <v>41</v>
      </c>
      <c r="K435" s="1" t="s">
        <v>146</v>
      </c>
      <c r="O435" s="11">
        <v>52000000</v>
      </c>
      <c r="Q435" s="1" t="s">
        <v>35</v>
      </c>
      <c r="R435" s="1" t="s">
        <v>36</v>
      </c>
      <c r="W435" s="1" t="s">
        <v>42</v>
      </c>
      <c r="Y435" s="1" t="s">
        <v>37</v>
      </c>
      <c r="AA435" s="84">
        <v>5212</v>
      </c>
      <c r="AB435" s="1" t="s">
        <v>337</v>
      </c>
      <c r="AC435" s="12" t="s">
        <v>65</v>
      </c>
      <c r="AD435" s="13">
        <v>0.21</v>
      </c>
      <c r="AE435" s="14" t="s">
        <v>39</v>
      </c>
      <c r="AG435" s="1">
        <v>6145000100</v>
      </c>
      <c r="AH435" s="1" t="s">
        <v>144</v>
      </c>
      <c r="AI435" s="17" t="s">
        <v>40</v>
      </c>
      <c r="AL435" s="1" t="str">
        <f t="shared" si="7"/>
        <v>"Operationele werking","","","52000000","","unspsc","M","","","","","K","","A010","","5212","6145000100","True",""</v>
      </c>
      <c r="AM435" s="2"/>
      <c r="AN435" s="2"/>
      <c r="AO435" s="2"/>
      <c r="AP435" s="2"/>
      <c r="AQ435" s="2"/>
      <c r="AR435" s="2"/>
      <c r="AS435" s="2"/>
    </row>
    <row r="436" spans="1:45" x14ac:dyDescent="0.25">
      <c r="A436" s="1">
        <v>200</v>
      </c>
      <c r="B436" s="1" t="s">
        <v>338</v>
      </c>
      <c r="C436" s="1" t="s">
        <v>31</v>
      </c>
      <c r="E436" s="1" t="s">
        <v>327</v>
      </c>
      <c r="F436" s="1">
        <v>2</v>
      </c>
      <c r="G436" s="1" t="s">
        <v>105</v>
      </c>
      <c r="H436" s="8">
        <v>9</v>
      </c>
      <c r="I436" s="8" t="s">
        <v>339</v>
      </c>
      <c r="J436" s="1" t="s">
        <v>59</v>
      </c>
      <c r="K436" s="1" t="s">
        <v>340</v>
      </c>
      <c r="O436" s="11">
        <v>56000000</v>
      </c>
      <c r="Q436" s="1" t="s">
        <v>35</v>
      </c>
      <c r="R436" s="1" t="s">
        <v>36</v>
      </c>
      <c r="W436" s="1" t="s">
        <v>60</v>
      </c>
      <c r="Y436" s="1" t="s">
        <v>37</v>
      </c>
      <c r="AA436" s="84">
        <v>561017</v>
      </c>
      <c r="AB436" s="1" t="s">
        <v>341</v>
      </c>
      <c r="AC436" s="12" t="s">
        <v>65</v>
      </c>
      <c r="AD436" s="13">
        <v>0.21</v>
      </c>
      <c r="AE436" s="14" t="s">
        <v>39</v>
      </c>
      <c r="AG436" s="1">
        <v>2400000000</v>
      </c>
      <c r="AH436" s="1" t="s">
        <v>340</v>
      </c>
      <c r="AI436" s="17" t="s">
        <v>40</v>
      </c>
      <c r="AL436" s="1" t="str">
        <f t="shared" si="7"/>
        <v>"Investering","","","56000000","","unspsc","M","","","","","A","","A010","","561017","2400000000","True",""</v>
      </c>
    </row>
    <row r="437" spans="1:45" x14ac:dyDescent="0.25">
      <c r="A437" s="1">
        <v>200</v>
      </c>
      <c r="C437" s="1" t="s">
        <v>31</v>
      </c>
      <c r="E437" s="1" t="s">
        <v>327</v>
      </c>
      <c r="F437" s="1">
        <v>2</v>
      </c>
      <c r="G437" s="1" t="s">
        <v>105</v>
      </c>
      <c r="H437" s="8">
        <v>9</v>
      </c>
      <c r="J437" s="1" t="s">
        <v>59</v>
      </c>
      <c r="K437" s="1" t="s">
        <v>340</v>
      </c>
      <c r="O437" s="11">
        <v>56000000</v>
      </c>
      <c r="Q437" s="1" t="s">
        <v>35</v>
      </c>
      <c r="R437" s="1" t="s">
        <v>36</v>
      </c>
      <c r="W437" s="1" t="s">
        <v>60</v>
      </c>
      <c r="Y437" s="1" t="s">
        <v>37</v>
      </c>
      <c r="AA437" s="84" t="s">
        <v>342</v>
      </c>
      <c r="AB437" s="1" t="s">
        <v>343</v>
      </c>
      <c r="AC437" s="12" t="s">
        <v>65</v>
      </c>
      <c r="AD437" s="13">
        <v>0.21</v>
      </c>
      <c r="AE437" s="14" t="s">
        <v>39</v>
      </c>
      <c r="AG437" s="1">
        <v>2400000000</v>
      </c>
      <c r="AH437" s="1" t="s">
        <v>340</v>
      </c>
      <c r="AI437" s="17" t="s">
        <v>40</v>
      </c>
      <c r="AL437" s="1" t="str">
        <f t="shared" si="7"/>
        <v>"Investering","","","56000000","","unspsc","M","","","","","A","","A010","","5612A","2400000000","True",""</v>
      </c>
    </row>
    <row r="438" spans="1:45" x14ac:dyDescent="0.25">
      <c r="A438" s="1">
        <v>200</v>
      </c>
      <c r="C438" s="1" t="s">
        <v>31</v>
      </c>
      <c r="E438" s="1" t="s">
        <v>327</v>
      </c>
      <c r="F438" s="1">
        <v>2</v>
      </c>
      <c r="G438" s="1" t="s">
        <v>105</v>
      </c>
      <c r="H438" s="8">
        <v>9</v>
      </c>
      <c r="J438" s="1" t="s">
        <v>59</v>
      </c>
      <c r="K438" s="1" t="s">
        <v>340</v>
      </c>
      <c r="O438" s="11">
        <v>56000000</v>
      </c>
      <c r="Q438" s="1" t="s">
        <v>35</v>
      </c>
      <c r="R438" s="1" t="s">
        <v>36</v>
      </c>
      <c r="W438" s="1" t="s">
        <v>60</v>
      </c>
      <c r="Y438" s="1" t="s">
        <v>37</v>
      </c>
      <c r="AA438" s="84" t="s">
        <v>344</v>
      </c>
      <c r="AB438" s="1" t="s">
        <v>345</v>
      </c>
      <c r="AC438" s="12" t="s">
        <v>65</v>
      </c>
      <c r="AD438" s="13">
        <v>0.21</v>
      </c>
      <c r="AE438" s="14" t="s">
        <v>39</v>
      </c>
      <c r="AG438" s="1">
        <v>2400000000</v>
      </c>
      <c r="AH438" s="1" t="s">
        <v>340</v>
      </c>
      <c r="AI438" s="17" t="s">
        <v>40</v>
      </c>
      <c r="AL438" s="1" t="str">
        <f t="shared" si="7"/>
        <v>"Investering","","","56000000","","unspsc","M","","","","","A","","A010","","5612B","2400000000","True",""</v>
      </c>
      <c r="AM438" s="2"/>
      <c r="AN438" s="2"/>
      <c r="AO438" s="2"/>
      <c r="AP438" s="2"/>
      <c r="AQ438" s="2"/>
      <c r="AR438" s="2"/>
      <c r="AS438" s="2"/>
    </row>
    <row r="439" spans="1:45" x14ac:dyDescent="0.25">
      <c r="A439" s="1">
        <v>200</v>
      </c>
      <c r="C439" s="1" t="s">
        <v>31</v>
      </c>
      <c r="E439" s="1" t="s">
        <v>327</v>
      </c>
      <c r="F439" s="1">
        <v>2</v>
      </c>
      <c r="G439" s="1" t="s">
        <v>105</v>
      </c>
      <c r="H439" s="8">
        <v>9</v>
      </c>
      <c r="J439" s="1" t="s">
        <v>59</v>
      </c>
      <c r="K439" s="1" t="s">
        <v>340</v>
      </c>
      <c r="O439" s="11">
        <v>56000000</v>
      </c>
      <c r="Q439" s="1" t="s">
        <v>35</v>
      </c>
      <c r="R439" s="1" t="s">
        <v>36</v>
      </c>
      <c r="W439" s="1" t="s">
        <v>60</v>
      </c>
      <c r="Y439" s="1" t="s">
        <v>37</v>
      </c>
      <c r="AA439" s="84">
        <v>561016</v>
      </c>
      <c r="AB439" s="1" t="s">
        <v>346</v>
      </c>
      <c r="AC439" s="12" t="s">
        <v>65</v>
      </c>
      <c r="AD439" s="13">
        <v>0.21</v>
      </c>
      <c r="AE439" s="14" t="s">
        <v>39</v>
      </c>
      <c r="AG439" s="1">
        <v>2400000000</v>
      </c>
      <c r="AH439" s="1" t="s">
        <v>340</v>
      </c>
      <c r="AI439" s="17" t="s">
        <v>40</v>
      </c>
      <c r="AL439" s="1" t="str">
        <f t="shared" si="7"/>
        <v>"Investering","","","56000000","","unspsc","M","","","","","A","","A010","","561016","2400000000","True",""</v>
      </c>
    </row>
    <row r="440" spans="1:45" x14ac:dyDescent="0.25">
      <c r="A440" s="1">
        <v>200</v>
      </c>
      <c r="C440" s="1" t="s">
        <v>31</v>
      </c>
      <c r="E440" s="1" t="s">
        <v>327</v>
      </c>
      <c r="F440" s="1">
        <v>2</v>
      </c>
      <c r="G440" s="1" t="s">
        <v>105</v>
      </c>
      <c r="H440" s="8">
        <v>17</v>
      </c>
      <c r="J440" s="1" t="s">
        <v>41</v>
      </c>
      <c r="K440" s="1" t="s">
        <v>340</v>
      </c>
      <c r="O440" s="11">
        <v>73000000</v>
      </c>
      <c r="Q440" s="1" t="s">
        <v>35</v>
      </c>
      <c r="R440" s="1" t="s">
        <v>36</v>
      </c>
      <c r="W440" s="1" t="s">
        <v>42</v>
      </c>
      <c r="Y440" s="1" t="s">
        <v>37</v>
      </c>
      <c r="AA440" s="84" t="s">
        <v>347</v>
      </c>
      <c r="AB440" s="1" t="s">
        <v>348</v>
      </c>
      <c r="AC440" s="12" t="s">
        <v>91</v>
      </c>
      <c r="AD440" s="13">
        <v>0.21</v>
      </c>
      <c r="AE440" s="14" t="s">
        <v>53</v>
      </c>
      <c r="AG440" s="1">
        <v>6141100300</v>
      </c>
      <c r="AH440" s="1" t="s">
        <v>349</v>
      </c>
      <c r="AI440" s="17" t="s">
        <v>40</v>
      </c>
      <c r="AL440" s="1" t="str">
        <f t="shared" si="7"/>
        <v>"Operationele werking","","","73000000","","unspsc","M","","","","","K","","A010","","731521A","6141100300","True",""</v>
      </c>
    </row>
    <row r="441" spans="1:45" x14ac:dyDescent="0.25">
      <c r="A441" s="1">
        <v>200</v>
      </c>
      <c r="C441" s="1" t="s">
        <v>350</v>
      </c>
      <c r="E441" s="1" t="s">
        <v>327</v>
      </c>
      <c r="F441" s="1">
        <v>2</v>
      </c>
      <c r="G441" s="1" t="s">
        <v>105</v>
      </c>
      <c r="H441" s="8">
        <v>17</v>
      </c>
      <c r="J441" s="1" t="s">
        <v>41</v>
      </c>
      <c r="K441" s="1" t="s">
        <v>106</v>
      </c>
      <c r="O441" s="11">
        <v>82000000</v>
      </c>
      <c r="Q441" s="1" t="s">
        <v>35</v>
      </c>
      <c r="R441" s="1" t="s">
        <v>36</v>
      </c>
      <c r="W441" s="1" t="s">
        <v>42</v>
      </c>
      <c r="Y441" s="1" t="s">
        <v>37</v>
      </c>
      <c r="AA441" s="84">
        <v>82121702</v>
      </c>
      <c r="AB441" s="1" t="s">
        <v>351</v>
      </c>
      <c r="AC441" s="12" t="s">
        <v>52</v>
      </c>
      <c r="AD441" s="13">
        <v>0</v>
      </c>
      <c r="AE441" s="14" t="s">
        <v>53</v>
      </c>
      <c r="AG441" s="1">
        <v>6146000900</v>
      </c>
      <c r="AH441" s="1" t="s">
        <v>56</v>
      </c>
      <c r="AI441" s="17" t="s">
        <v>40</v>
      </c>
      <c r="AL441" s="1" t="str">
        <f t="shared" si="7"/>
        <v>"Operationele werking","","","82000000","","unspsc","M","","","","","K","","A010","","82121702","6146000900","True",""</v>
      </c>
    </row>
    <row r="442" spans="1:45" x14ac:dyDescent="0.25">
      <c r="A442" s="1">
        <v>200</v>
      </c>
      <c r="C442" s="1" t="s">
        <v>62</v>
      </c>
      <c r="E442" s="1" t="s">
        <v>352</v>
      </c>
      <c r="F442" s="1">
        <v>3</v>
      </c>
      <c r="G442" s="1" t="s">
        <v>148</v>
      </c>
      <c r="H442" s="8">
        <v>3</v>
      </c>
      <c r="J442" s="1" t="s">
        <v>45</v>
      </c>
      <c r="K442" s="1" t="s">
        <v>187</v>
      </c>
      <c r="O442" s="11">
        <v>42000000</v>
      </c>
      <c r="Q442" s="1" t="s">
        <v>35</v>
      </c>
      <c r="R442" s="1" t="s">
        <v>36</v>
      </c>
      <c r="W442" s="1" t="s">
        <v>42</v>
      </c>
      <c r="Y442" s="1" t="s">
        <v>37</v>
      </c>
      <c r="AA442" s="84">
        <v>4225</v>
      </c>
      <c r="AB442" s="1" t="s">
        <v>353</v>
      </c>
      <c r="AC442" s="12" t="s">
        <v>65</v>
      </c>
      <c r="AD442" s="13">
        <v>0.21</v>
      </c>
      <c r="AE442" s="14" t="s">
        <v>39</v>
      </c>
      <c r="AG442" s="1">
        <v>6161000200</v>
      </c>
      <c r="AH442" s="1" t="s">
        <v>45</v>
      </c>
      <c r="AI442" s="17" t="s">
        <v>40</v>
      </c>
      <c r="AL442" s="1" t="str">
        <f t="shared" si="7"/>
        <v>"Didactisch materiaal","","","42000000","","unspsc","M","","","","","K","","A010","","4225","6161000200","True",""</v>
      </c>
    </row>
    <row r="443" spans="1:45" x14ac:dyDescent="0.25">
      <c r="A443" s="1">
        <v>200</v>
      </c>
      <c r="C443" s="1" t="s">
        <v>62</v>
      </c>
      <c r="E443" s="1" t="s">
        <v>352</v>
      </c>
      <c r="F443" s="1">
        <v>3</v>
      </c>
      <c r="G443" s="1" t="s">
        <v>148</v>
      </c>
      <c r="H443" s="8">
        <v>3</v>
      </c>
      <c r="J443" s="1" t="s">
        <v>45</v>
      </c>
      <c r="K443" s="1" t="s">
        <v>187</v>
      </c>
      <c r="O443" s="11">
        <v>42000000</v>
      </c>
      <c r="Q443" s="1" t="s">
        <v>35</v>
      </c>
      <c r="R443" s="1" t="s">
        <v>36</v>
      </c>
      <c r="W443" s="1" t="s">
        <v>42</v>
      </c>
      <c r="Y443" s="1" t="s">
        <v>37</v>
      </c>
      <c r="AA443" s="84" t="s">
        <v>354</v>
      </c>
      <c r="AB443" s="1" t="s">
        <v>355</v>
      </c>
      <c r="AC443" s="12" t="s">
        <v>104</v>
      </c>
      <c r="AD443" s="13">
        <v>0.21</v>
      </c>
      <c r="AE443" s="14" t="s">
        <v>39</v>
      </c>
      <c r="AG443" s="1">
        <v>6161000200</v>
      </c>
      <c r="AH443" s="1" t="s">
        <v>45</v>
      </c>
      <c r="AI443" s="17" t="s">
        <v>40</v>
      </c>
      <c r="AL443" s="1" t="str">
        <f t="shared" si="7"/>
        <v>"Didactisch materiaal","","","42000000","","unspsc","M","","","","","K","","A010","","4225X","6161000200","True",""</v>
      </c>
      <c r="AM443" s="2"/>
      <c r="AN443" s="2"/>
      <c r="AO443" s="2"/>
      <c r="AP443" s="2"/>
      <c r="AQ443" s="2"/>
      <c r="AR443" s="2"/>
      <c r="AS443" s="2"/>
    </row>
    <row r="444" spans="1:45" x14ac:dyDescent="0.25">
      <c r="A444" s="1">
        <v>200</v>
      </c>
      <c r="C444" s="1" t="s">
        <v>31</v>
      </c>
      <c r="E444" s="1" t="s">
        <v>352</v>
      </c>
      <c r="F444" s="1">
        <v>3</v>
      </c>
      <c r="G444" s="1" t="s">
        <v>148</v>
      </c>
      <c r="H444" s="8">
        <v>9</v>
      </c>
      <c r="J444" s="1" t="s">
        <v>59</v>
      </c>
      <c r="K444" s="1" t="s">
        <v>153</v>
      </c>
      <c r="O444" s="11">
        <v>49000000</v>
      </c>
      <c r="Q444" s="1" t="s">
        <v>35</v>
      </c>
      <c r="R444" s="1" t="s">
        <v>36</v>
      </c>
      <c r="W444" s="1" t="s">
        <v>60</v>
      </c>
      <c r="Y444" s="1" t="s">
        <v>37</v>
      </c>
      <c r="AA444" s="84">
        <v>4920</v>
      </c>
      <c r="AB444" s="1" t="s">
        <v>356</v>
      </c>
      <c r="AC444" s="12" t="s">
        <v>65</v>
      </c>
      <c r="AD444" s="13">
        <v>0.21</v>
      </c>
      <c r="AE444" s="14" t="s">
        <v>39</v>
      </c>
      <c r="AG444" s="1">
        <v>2302000000</v>
      </c>
      <c r="AH444" s="1" t="s">
        <v>125</v>
      </c>
      <c r="AI444" s="17" t="s">
        <v>40</v>
      </c>
      <c r="AL444" s="1" t="str">
        <f t="shared" si="7"/>
        <v>"Investering","","","49000000","","unspsc","M","","","","","A","","A010","","4920","2302000000","True",""</v>
      </c>
    </row>
    <row r="445" spans="1:45" x14ac:dyDescent="0.25">
      <c r="A445" s="1">
        <v>200</v>
      </c>
      <c r="C445" s="1" t="s">
        <v>62</v>
      </c>
      <c r="E445" s="1" t="s">
        <v>352</v>
      </c>
      <c r="F445" s="1">
        <v>3</v>
      </c>
      <c r="G445" s="1" t="s">
        <v>148</v>
      </c>
      <c r="H445" s="8">
        <v>3</v>
      </c>
      <c r="J445" s="1" t="s">
        <v>45</v>
      </c>
      <c r="K445" s="1" t="s">
        <v>187</v>
      </c>
      <c r="O445" s="11">
        <v>50000000</v>
      </c>
      <c r="Q445" s="1" t="s">
        <v>35</v>
      </c>
      <c r="R445" s="1" t="s">
        <v>36</v>
      </c>
      <c r="W445" s="1" t="s">
        <v>42</v>
      </c>
      <c r="Y445" s="1" t="s">
        <v>37</v>
      </c>
      <c r="AA445" s="84">
        <v>5050</v>
      </c>
      <c r="AB445" s="1" t="s">
        <v>357</v>
      </c>
      <c r="AC445" s="12" t="s">
        <v>65</v>
      </c>
      <c r="AD445" s="13">
        <v>0.21</v>
      </c>
      <c r="AE445" s="14" t="s">
        <v>39</v>
      </c>
      <c r="AG445" s="1">
        <v>6161000200</v>
      </c>
      <c r="AH445" s="1" t="s">
        <v>45</v>
      </c>
      <c r="AI445" s="17" t="s">
        <v>40</v>
      </c>
      <c r="AL445" s="1" t="str">
        <f t="shared" si="7"/>
        <v>"Didactisch materiaal","","","50000000","","unspsc","M","","","","","K","","A010","","5050","6161000200","True",""</v>
      </c>
      <c r="AM445" s="2"/>
      <c r="AN445" s="2"/>
      <c r="AO445" s="2"/>
      <c r="AP445" s="2"/>
      <c r="AQ445" s="2"/>
      <c r="AR445" s="2"/>
      <c r="AS445" s="2"/>
    </row>
    <row r="446" spans="1:45" x14ac:dyDescent="0.25">
      <c r="A446" s="1">
        <v>200</v>
      </c>
      <c r="C446" s="1" t="s">
        <v>62</v>
      </c>
      <c r="E446" s="1" t="s">
        <v>352</v>
      </c>
      <c r="F446" s="1">
        <v>3</v>
      </c>
      <c r="G446" s="1" t="s">
        <v>148</v>
      </c>
      <c r="H446" s="8">
        <v>17</v>
      </c>
      <c r="J446" s="1" t="s">
        <v>41</v>
      </c>
      <c r="K446" s="1" t="s">
        <v>181</v>
      </c>
      <c r="O446" s="11">
        <v>55000000</v>
      </c>
      <c r="Q446" s="1" t="s">
        <v>35</v>
      </c>
      <c r="R446" s="1" t="s">
        <v>36</v>
      </c>
      <c r="W446" s="1" t="s">
        <v>42</v>
      </c>
      <c r="Y446" s="1" t="s">
        <v>37</v>
      </c>
      <c r="AA446" s="84">
        <v>551015</v>
      </c>
      <c r="AB446" s="1" t="s">
        <v>358</v>
      </c>
      <c r="AC446" s="12" t="s">
        <v>359</v>
      </c>
      <c r="AD446" s="13">
        <v>0</v>
      </c>
      <c r="AE446" s="14" t="s">
        <v>39</v>
      </c>
      <c r="AG446" s="1">
        <v>6146000100</v>
      </c>
      <c r="AH446" s="1" t="s">
        <v>183</v>
      </c>
      <c r="AI446" s="17" t="s">
        <v>40</v>
      </c>
      <c r="AL446" s="1" t="str">
        <f t="shared" si="7"/>
        <v>"Operationele werking","","","55000000","","unspsc","M","","","","","K","","A010","","551015","6146000100","True",""</v>
      </c>
      <c r="AM446" s="2"/>
      <c r="AN446" s="2"/>
      <c r="AO446" s="2"/>
      <c r="AP446" s="2"/>
      <c r="AQ446" s="2"/>
      <c r="AR446" s="2"/>
      <c r="AS446" s="2"/>
    </row>
    <row r="447" spans="1:45" x14ac:dyDescent="0.25">
      <c r="A447" s="1">
        <v>200</v>
      </c>
      <c r="C447" s="1" t="s">
        <v>31</v>
      </c>
      <c r="E447" s="1" t="s">
        <v>352</v>
      </c>
      <c r="F447" s="1">
        <v>3</v>
      </c>
      <c r="G447" s="1" t="s">
        <v>148</v>
      </c>
      <c r="H447" s="8">
        <v>3</v>
      </c>
      <c r="J447" s="1" t="s">
        <v>45</v>
      </c>
      <c r="K447" s="1" t="s">
        <v>151</v>
      </c>
      <c r="O447" s="11">
        <v>60000000</v>
      </c>
      <c r="Q447" s="1" t="s">
        <v>35</v>
      </c>
      <c r="R447" s="1" t="s">
        <v>36</v>
      </c>
      <c r="W447" s="1" t="s">
        <v>42</v>
      </c>
      <c r="Y447" s="1" t="s">
        <v>37</v>
      </c>
      <c r="AA447" s="84">
        <v>60106105</v>
      </c>
      <c r="AB447" s="1" t="s">
        <v>360</v>
      </c>
      <c r="AC447" s="12" t="s">
        <v>65</v>
      </c>
      <c r="AD447" s="13">
        <v>0.21</v>
      </c>
      <c r="AE447" s="14" t="s">
        <v>39</v>
      </c>
      <c r="AG447" s="1">
        <v>6161000200</v>
      </c>
      <c r="AH447" s="1" t="s">
        <v>45</v>
      </c>
      <c r="AI447" s="17" t="s">
        <v>40</v>
      </c>
      <c r="AL447" s="1" t="str">
        <f t="shared" si="7"/>
        <v>"Didactisch materiaal","","","60000000","","unspsc","M","","","","","K","","A010","","60106105","6161000200","True",""</v>
      </c>
    </row>
    <row r="448" spans="1:45" x14ac:dyDescent="0.25">
      <c r="A448" s="1">
        <v>200</v>
      </c>
      <c r="B448" s="1" t="s">
        <v>361</v>
      </c>
      <c r="C448" s="1" t="s">
        <v>62</v>
      </c>
      <c r="E448" s="1" t="s">
        <v>352</v>
      </c>
      <c r="F448" s="1">
        <v>3</v>
      </c>
      <c r="G448" s="1" t="s">
        <v>148</v>
      </c>
      <c r="H448" s="8">
        <v>3</v>
      </c>
      <c r="J448" s="1" t="s">
        <v>45</v>
      </c>
      <c r="K448" s="1" t="s">
        <v>187</v>
      </c>
      <c r="O448" s="11">
        <v>60000000</v>
      </c>
      <c r="Q448" s="1" t="s">
        <v>35</v>
      </c>
      <c r="R448" s="1" t="s">
        <v>36</v>
      </c>
      <c r="W448" s="1" t="s">
        <v>42</v>
      </c>
      <c r="Y448" s="1" t="s">
        <v>37</v>
      </c>
      <c r="AA448" s="84" t="s">
        <v>362</v>
      </c>
      <c r="AB448" s="1" t="s">
        <v>363</v>
      </c>
      <c r="AC448" s="12" t="s">
        <v>65</v>
      </c>
      <c r="AD448" s="13">
        <v>0.21</v>
      </c>
      <c r="AE448" s="14" t="s">
        <v>39</v>
      </c>
      <c r="AG448" s="1">
        <v>6161000200</v>
      </c>
      <c r="AH448" s="1" t="s">
        <v>45</v>
      </c>
      <c r="AI448" s="17" t="s">
        <v>40</v>
      </c>
      <c r="AL448" s="1" t="str">
        <f t="shared" si="7"/>
        <v>"Didactisch materiaal","","","60000000","","unspsc","M","","","","","K","","A010","","6010C","6161000200","True",""</v>
      </c>
    </row>
    <row r="449" spans="1:45" x14ac:dyDescent="0.25">
      <c r="A449" s="1">
        <v>200</v>
      </c>
      <c r="C449" s="1" t="s">
        <v>31</v>
      </c>
      <c r="E449" s="1" t="s">
        <v>352</v>
      </c>
      <c r="F449" s="1">
        <v>3</v>
      </c>
      <c r="G449" s="1" t="s">
        <v>148</v>
      </c>
      <c r="H449" s="8">
        <v>3</v>
      </c>
      <c r="J449" s="1" t="s">
        <v>45</v>
      </c>
      <c r="K449" s="1" t="s">
        <v>187</v>
      </c>
      <c r="O449" s="11">
        <v>60000000</v>
      </c>
      <c r="Q449" s="1" t="s">
        <v>35</v>
      </c>
      <c r="R449" s="1" t="s">
        <v>36</v>
      </c>
      <c r="W449" s="1" t="s">
        <v>42</v>
      </c>
      <c r="Y449" s="1" t="s">
        <v>37</v>
      </c>
      <c r="AA449" s="84">
        <v>601023</v>
      </c>
      <c r="AB449" s="1" t="s">
        <v>364</v>
      </c>
      <c r="AC449" s="12" t="s">
        <v>38</v>
      </c>
      <c r="AD449" s="13">
        <v>0.06</v>
      </c>
      <c r="AE449" s="14" t="s">
        <v>39</v>
      </c>
      <c r="AG449" s="1">
        <v>6161000200</v>
      </c>
      <c r="AH449" s="1" t="s">
        <v>45</v>
      </c>
      <c r="AI449" s="17" t="s">
        <v>40</v>
      </c>
      <c r="AL449" s="1" t="str">
        <f t="shared" si="7"/>
        <v>"Didactisch materiaal","","","60000000","","unspsc","M","","","","","K","","A010","","601023","6161000200","True",""</v>
      </c>
    </row>
    <row r="450" spans="1:45" x14ac:dyDescent="0.25">
      <c r="A450" s="1">
        <v>200</v>
      </c>
      <c r="C450" s="1" t="s">
        <v>31</v>
      </c>
      <c r="E450" s="1" t="s">
        <v>352</v>
      </c>
      <c r="F450" s="1">
        <v>3</v>
      </c>
      <c r="G450" s="1" t="s">
        <v>148</v>
      </c>
      <c r="H450" s="8">
        <v>3</v>
      </c>
      <c r="J450" s="1" t="s">
        <v>45</v>
      </c>
      <c r="K450" s="1" t="s">
        <v>187</v>
      </c>
      <c r="O450" s="11">
        <v>60000000</v>
      </c>
      <c r="Q450" s="1" t="s">
        <v>35</v>
      </c>
      <c r="R450" s="1" t="s">
        <v>36</v>
      </c>
      <c r="W450" s="1" t="s">
        <v>42</v>
      </c>
      <c r="Y450" s="1" t="s">
        <v>37</v>
      </c>
      <c r="AA450" s="84" t="s">
        <v>365</v>
      </c>
      <c r="AB450" s="1" t="s">
        <v>366</v>
      </c>
      <c r="AC450" s="12" t="s">
        <v>186</v>
      </c>
      <c r="AD450" s="13">
        <v>0.06</v>
      </c>
      <c r="AE450" s="14" t="s">
        <v>39</v>
      </c>
      <c r="AG450" s="1">
        <v>6161000200</v>
      </c>
      <c r="AH450" s="1" t="s">
        <v>45</v>
      </c>
      <c r="AI450" s="17" t="s">
        <v>40</v>
      </c>
      <c r="AL450" s="1" t="str">
        <f t="shared" si="7"/>
        <v>"Didactisch materiaal","","","60000000","","unspsc","M","","","","","K","","A010","","601023X","6161000200","True",""</v>
      </c>
    </row>
    <row r="451" spans="1:45" x14ac:dyDescent="0.25">
      <c r="A451" s="1">
        <v>200</v>
      </c>
      <c r="C451" s="1" t="s">
        <v>31</v>
      </c>
      <c r="E451" s="1" t="s">
        <v>352</v>
      </c>
      <c r="F451" s="1">
        <v>3</v>
      </c>
      <c r="G451" s="1" t="s">
        <v>148</v>
      </c>
      <c r="H451" s="8">
        <v>3</v>
      </c>
      <c r="J451" s="1" t="s">
        <v>45</v>
      </c>
      <c r="K451" s="1" t="s">
        <v>187</v>
      </c>
      <c r="O451" s="11">
        <v>60000000</v>
      </c>
      <c r="Q451" s="1" t="s">
        <v>35</v>
      </c>
      <c r="R451" s="1" t="s">
        <v>36</v>
      </c>
      <c r="W451" s="1" t="s">
        <v>42</v>
      </c>
      <c r="Y451" s="1" t="s">
        <v>37</v>
      </c>
      <c r="AA451" s="84">
        <v>6012</v>
      </c>
      <c r="AB451" s="1" t="s">
        <v>367</v>
      </c>
      <c r="AC451" s="12" t="s">
        <v>65</v>
      </c>
      <c r="AD451" s="13">
        <v>0.21</v>
      </c>
      <c r="AE451" s="14" t="s">
        <v>39</v>
      </c>
      <c r="AG451" s="1">
        <v>6161000200</v>
      </c>
      <c r="AH451" s="1" t="s">
        <v>45</v>
      </c>
      <c r="AI451" s="17" t="s">
        <v>40</v>
      </c>
      <c r="AL451" s="1" t="str">
        <f t="shared" si="7"/>
        <v>"Didactisch materiaal","","","60000000","","unspsc","M","","","","","K","","A010","","6012","6161000200","True",""</v>
      </c>
    </row>
    <row r="452" spans="1:45" x14ac:dyDescent="0.25">
      <c r="A452" s="1">
        <v>200</v>
      </c>
      <c r="C452" s="1" t="s">
        <v>31</v>
      </c>
      <c r="E452" s="1" t="s">
        <v>352</v>
      </c>
      <c r="F452" s="1">
        <v>3</v>
      </c>
      <c r="G452" s="1" t="s">
        <v>148</v>
      </c>
      <c r="H452" s="8">
        <v>3</v>
      </c>
      <c r="J452" s="1" t="s">
        <v>45</v>
      </c>
      <c r="K452" s="1" t="s">
        <v>187</v>
      </c>
      <c r="O452" s="11">
        <v>60000000</v>
      </c>
      <c r="Q452" s="1" t="s">
        <v>35</v>
      </c>
      <c r="R452" s="1" t="s">
        <v>36</v>
      </c>
      <c r="W452" s="1" t="s">
        <v>42</v>
      </c>
      <c r="Y452" s="1" t="s">
        <v>37</v>
      </c>
      <c r="AA452" s="84" t="s">
        <v>368</v>
      </c>
      <c r="AB452" s="1" t="s">
        <v>369</v>
      </c>
      <c r="AC452" s="12" t="s">
        <v>104</v>
      </c>
      <c r="AD452" s="13">
        <v>0.21</v>
      </c>
      <c r="AE452" s="14" t="s">
        <v>39</v>
      </c>
      <c r="AG452" s="1">
        <v>6161000200</v>
      </c>
      <c r="AH452" s="1" t="s">
        <v>45</v>
      </c>
      <c r="AI452" s="17" t="s">
        <v>40</v>
      </c>
      <c r="AL452" s="1" t="str">
        <f t="shared" ref="AL452:AL515" si="8">""""&amp;J452&amp;""""&amp;","&amp;""""&amp;L452&amp;""""&amp;","&amp;""""&amp;M452&amp;""""&amp;","&amp;""""&amp;O452&amp;""""&amp;","&amp;""""&amp;P452&amp;""""&amp;","&amp;""""&amp;Q452&amp;""""&amp;","&amp;""""&amp;R452&amp;""""&amp;","&amp;""""&amp;S452&amp;""""&amp;","&amp;""""&amp;T452&amp;""""&amp;","&amp;""""&amp;U452&amp;""""&amp;","&amp;""""&amp;V452&amp;""""&amp;","&amp;""""&amp;W452&amp;""""&amp;","&amp;""""&amp;X452&amp;""""&amp;","&amp;""""&amp;Y452&amp;""""&amp;","&amp;""""&amp;Z452&amp;""""&amp;","&amp;""""&amp;AA452&amp;""""&amp;","&amp;""""&amp;AG452&amp;""""&amp;","&amp;""""&amp;AI452&amp;""""&amp;","&amp;""""&amp;AJ452&amp;""""&amp;""</f>
        <v>"Didactisch materiaal","","","60000000","","unspsc","M","","","","","K","","A010","","6012X","6161000200","True",""</v>
      </c>
    </row>
    <row r="453" spans="1:45" x14ac:dyDescent="0.25">
      <c r="A453" s="1">
        <v>200</v>
      </c>
      <c r="C453" s="1" t="s">
        <v>31</v>
      </c>
      <c r="E453" s="1" t="s">
        <v>352</v>
      </c>
      <c r="F453" s="1">
        <v>3</v>
      </c>
      <c r="G453" s="1" t="s">
        <v>148</v>
      </c>
      <c r="H453" s="8">
        <v>17</v>
      </c>
      <c r="J453" s="1" t="s">
        <v>41</v>
      </c>
      <c r="K453" s="1" t="s">
        <v>187</v>
      </c>
      <c r="O453" s="11">
        <v>60000000</v>
      </c>
      <c r="Q453" s="1" t="s">
        <v>35</v>
      </c>
      <c r="R453" s="1" t="s">
        <v>36</v>
      </c>
      <c r="W453" s="1" t="s">
        <v>42</v>
      </c>
      <c r="Y453" s="1" t="s">
        <v>37</v>
      </c>
      <c r="AA453" s="84">
        <v>601017</v>
      </c>
      <c r="AB453" s="1" t="s">
        <v>370</v>
      </c>
      <c r="AC453" s="12" t="s">
        <v>38</v>
      </c>
      <c r="AD453" s="13">
        <v>0.06</v>
      </c>
      <c r="AE453" s="14" t="s">
        <v>39</v>
      </c>
      <c r="AG453" s="1">
        <v>6030000100</v>
      </c>
      <c r="AH453" s="1" t="s">
        <v>120</v>
      </c>
      <c r="AI453" s="17" t="s">
        <v>40</v>
      </c>
      <c r="AL453" s="1" t="str">
        <f t="shared" si="8"/>
        <v>"Operationele werking","","","60000000","","unspsc","M","","","","","K","","A010","","601017","6030000100","True",""</v>
      </c>
      <c r="AM453" s="21"/>
      <c r="AN453" s="21"/>
      <c r="AO453" s="21"/>
      <c r="AP453" s="21"/>
      <c r="AQ453" s="21"/>
      <c r="AR453" s="21"/>
      <c r="AS453" s="21"/>
    </row>
    <row r="454" spans="1:45" x14ac:dyDescent="0.25">
      <c r="A454" s="1">
        <v>200</v>
      </c>
      <c r="C454" s="1" t="s">
        <v>31</v>
      </c>
      <c r="E454" s="1" t="s">
        <v>352</v>
      </c>
      <c r="F454" s="1">
        <v>3</v>
      </c>
      <c r="G454" s="1" t="s">
        <v>148</v>
      </c>
      <c r="H454" s="8">
        <v>3</v>
      </c>
      <c r="J454" s="1" t="s">
        <v>45</v>
      </c>
      <c r="K454" s="1" t="s">
        <v>151</v>
      </c>
      <c r="O454" s="11">
        <v>60000000</v>
      </c>
      <c r="Q454" s="1" t="s">
        <v>35</v>
      </c>
      <c r="R454" s="1" t="s">
        <v>36</v>
      </c>
      <c r="W454" s="1" t="s">
        <v>42</v>
      </c>
      <c r="Y454" s="1" t="s">
        <v>37</v>
      </c>
      <c r="AA454" s="84">
        <v>6014</v>
      </c>
      <c r="AB454" s="1" t="s">
        <v>371</v>
      </c>
      <c r="AC454" s="12" t="s">
        <v>65</v>
      </c>
      <c r="AD454" s="13">
        <v>0.21</v>
      </c>
      <c r="AE454" s="14" t="s">
        <v>39</v>
      </c>
      <c r="AG454" s="1">
        <v>6161000200</v>
      </c>
      <c r="AH454" s="1" t="s">
        <v>45</v>
      </c>
      <c r="AI454" s="17" t="s">
        <v>40</v>
      </c>
      <c r="AL454" s="1" t="str">
        <f t="shared" si="8"/>
        <v>"Didactisch materiaal","","","60000000","","unspsc","M","","","","","K","","A010","","6014","6161000200","True",""</v>
      </c>
      <c r="AM454" s="2"/>
      <c r="AN454" s="2"/>
      <c r="AO454" s="2"/>
      <c r="AP454" s="2"/>
      <c r="AQ454" s="2"/>
      <c r="AR454" s="2"/>
      <c r="AS454" s="2"/>
    </row>
    <row r="455" spans="1:45" x14ac:dyDescent="0.25">
      <c r="A455" s="1">
        <v>200</v>
      </c>
      <c r="C455" s="1" t="s">
        <v>31</v>
      </c>
      <c r="E455" s="1" t="s">
        <v>352</v>
      </c>
      <c r="F455" s="1">
        <v>3</v>
      </c>
      <c r="G455" s="1" t="s">
        <v>148</v>
      </c>
      <c r="H455" s="8">
        <v>3</v>
      </c>
      <c r="J455" s="1" t="s">
        <v>45</v>
      </c>
      <c r="K455" s="1" t="s">
        <v>151</v>
      </c>
      <c r="O455" s="11">
        <v>60000000</v>
      </c>
      <c r="Q455" s="1" t="s">
        <v>35</v>
      </c>
      <c r="R455" s="1" t="s">
        <v>36</v>
      </c>
      <c r="W455" s="1" t="s">
        <v>42</v>
      </c>
      <c r="Y455" s="1" t="s">
        <v>37</v>
      </c>
      <c r="AA455" s="84" t="s">
        <v>372</v>
      </c>
      <c r="AB455" s="1" t="s">
        <v>373</v>
      </c>
      <c r="AC455" s="12" t="s">
        <v>104</v>
      </c>
      <c r="AD455" s="13">
        <v>0.21</v>
      </c>
      <c r="AE455" s="14" t="s">
        <v>39</v>
      </c>
      <c r="AG455" s="1">
        <v>6161000200</v>
      </c>
      <c r="AH455" s="1" t="s">
        <v>45</v>
      </c>
      <c r="AI455" s="17" t="s">
        <v>40</v>
      </c>
      <c r="AL455" s="1" t="str">
        <f t="shared" si="8"/>
        <v>"Didactisch materiaal","","","60000000","","unspsc","M","","","","","K","","A010","","6014X","6161000200","True",""</v>
      </c>
    </row>
    <row r="456" spans="1:45" x14ac:dyDescent="0.25">
      <c r="A456" s="1">
        <v>200</v>
      </c>
      <c r="C456" s="1" t="s">
        <v>62</v>
      </c>
      <c r="F456" s="1">
        <v>3</v>
      </c>
      <c r="G456" s="1" t="s">
        <v>148</v>
      </c>
      <c r="H456" s="8">
        <v>6</v>
      </c>
      <c r="J456" s="1" t="s">
        <v>108</v>
      </c>
      <c r="K456" s="1" t="s">
        <v>187</v>
      </c>
      <c r="O456" s="11">
        <v>60000000</v>
      </c>
      <c r="Q456" s="1" t="s">
        <v>35</v>
      </c>
      <c r="R456" s="1" t="s">
        <v>36</v>
      </c>
      <c r="W456" s="1" t="s">
        <v>42</v>
      </c>
      <c r="Y456" s="1" t="s">
        <v>37</v>
      </c>
      <c r="AA456" s="84" t="s">
        <v>374</v>
      </c>
      <c r="AB456" s="1" t="s">
        <v>375</v>
      </c>
      <c r="AC456" s="12" t="s">
        <v>65</v>
      </c>
      <c r="AD456" s="13">
        <v>0.21</v>
      </c>
      <c r="AE456" s="14" t="s">
        <v>39</v>
      </c>
      <c r="AF456" s="15"/>
      <c r="AG456" s="1">
        <v>6030000200</v>
      </c>
      <c r="AH456" s="1" t="s">
        <v>109</v>
      </c>
      <c r="AI456" s="17" t="s">
        <v>40</v>
      </c>
      <c r="AL456" s="1" t="str">
        <f t="shared" si="8"/>
        <v>"Doorverkoop onderwijs (niet max fac)","","","60000000","","unspsc","M","","","","","K","","A010","","601060X","6030000200","True",""</v>
      </c>
    </row>
    <row r="457" spans="1:45" x14ac:dyDescent="0.25">
      <c r="A457" s="1">
        <v>200</v>
      </c>
      <c r="C457" s="1" t="s">
        <v>31</v>
      </c>
      <c r="E457" s="1" t="s">
        <v>352</v>
      </c>
      <c r="F457" s="1">
        <v>3</v>
      </c>
      <c r="G457" s="1" t="s">
        <v>148</v>
      </c>
      <c r="H457" s="8">
        <v>3</v>
      </c>
      <c r="J457" s="1" t="s">
        <v>45</v>
      </c>
      <c r="K457" s="1" t="s">
        <v>187</v>
      </c>
      <c r="O457" s="11">
        <v>60000000</v>
      </c>
      <c r="Q457" s="1" t="s">
        <v>35</v>
      </c>
      <c r="R457" s="1" t="s">
        <v>36</v>
      </c>
      <c r="W457" s="1" t="s">
        <v>42</v>
      </c>
      <c r="Y457" s="1" t="s">
        <v>37</v>
      </c>
      <c r="AA457" s="84">
        <v>60106102</v>
      </c>
      <c r="AB457" s="1" t="s">
        <v>376</v>
      </c>
      <c r="AC457" s="12" t="s">
        <v>65</v>
      </c>
      <c r="AD457" s="13">
        <v>0.21</v>
      </c>
      <c r="AE457" s="14" t="s">
        <v>39</v>
      </c>
      <c r="AG457" s="1">
        <v>6161000200</v>
      </c>
      <c r="AH457" s="1" t="s">
        <v>45</v>
      </c>
      <c r="AI457" s="17" t="s">
        <v>40</v>
      </c>
      <c r="AL457" s="1" t="str">
        <f t="shared" si="8"/>
        <v>"Didactisch materiaal","","","60000000","","unspsc","M","","","","","K","","A010","","60106102","6161000200","True",""</v>
      </c>
    </row>
    <row r="458" spans="1:45" x14ac:dyDescent="0.25">
      <c r="A458" s="1">
        <v>200</v>
      </c>
      <c r="C458" s="1" t="s">
        <v>31</v>
      </c>
      <c r="E458" s="1" t="s">
        <v>352</v>
      </c>
      <c r="F458" s="1">
        <v>3</v>
      </c>
      <c r="G458" s="1" t="s">
        <v>148</v>
      </c>
      <c r="H458" s="8">
        <v>3</v>
      </c>
      <c r="J458" s="1" t="s">
        <v>45</v>
      </c>
      <c r="K458" s="1" t="s">
        <v>187</v>
      </c>
      <c r="O458" s="11">
        <v>60000000</v>
      </c>
      <c r="Q458" s="1" t="s">
        <v>35</v>
      </c>
      <c r="R458" s="1" t="s">
        <v>36</v>
      </c>
      <c r="W458" s="1" t="s">
        <v>42</v>
      </c>
      <c r="Y458" s="1" t="s">
        <v>37</v>
      </c>
      <c r="AA458" s="84">
        <v>60106103</v>
      </c>
      <c r="AB458" s="1" t="s">
        <v>377</v>
      </c>
      <c r="AC458" s="12" t="s">
        <v>65</v>
      </c>
      <c r="AD458" s="13">
        <v>0.21</v>
      </c>
      <c r="AE458" s="14" t="s">
        <v>39</v>
      </c>
      <c r="AG458" s="1">
        <v>6161000200</v>
      </c>
      <c r="AH458" s="1" t="s">
        <v>45</v>
      </c>
      <c r="AI458" s="17" t="s">
        <v>40</v>
      </c>
      <c r="AL458" s="1" t="str">
        <f t="shared" si="8"/>
        <v>"Didactisch materiaal","","","60000000","","unspsc","M","","","","","K","","A010","","60106103","6161000200","True",""</v>
      </c>
      <c r="AM458" s="2"/>
      <c r="AN458" s="2"/>
      <c r="AO458" s="2"/>
      <c r="AP458" s="2"/>
      <c r="AQ458" s="2"/>
      <c r="AR458" s="2"/>
      <c r="AS458" s="2"/>
    </row>
    <row r="459" spans="1:45" x14ac:dyDescent="0.25">
      <c r="A459" s="1">
        <v>200</v>
      </c>
      <c r="C459" s="1" t="s">
        <v>31</v>
      </c>
      <c r="E459" s="1" t="s">
        <v>352</v>
      </c>
      <c r="F459" s="1">
        <v>3</v>
      </c>
      <c r="G459" s="1" t="s">
        <v>148</v>
      </c>
      <c r="H459" s="8">
        <v>3</v>
      </c>
      <c r="J459" s="1" t="s">
        <v>45</v>
      </c>
      <c r="K459" s="1" t="s">
        <v>187</v>
      </c>
      <c r="O459" s="11">
        <v>60000000</v>
      </c>
      <c r="Q459" s="1" t="s">
        <v>35</v>
      </c>
      <c r="R459" s="1" t="s">
        <v>36</v>
      </c>
      <c r="W459" s="1" t="s">
        <v>42</v>
      </c>
      <c r="Y459" s="1" t="s">
        <v>37</v>
      </c>
      <c r="AA459" s="84">
        <v>60106205</v>
      </c>
      <c r="AB459" s="1" t="s">
        <v>378</v>
      </c>
      <c r="AC459" s="12" t="s">
        <v>65</v>
      </c>
      <c r="AD459" s="13">
        <v>0.21</v>
      </c>
      <c r="AE459" s="14" t="s">
        <v>39</v>
      </c>
      <c r="AG459" s="1">
        <v>6161000200</v>
      </c>
      <c r="AH459" s="1" t="s">
        <v>45</v>
      </c>
      <c r="AI459" s="17" t="s">
        <v>40</v>
      </c>
      <c r="AL459" s="1" t="str">
        <f t="shared" si="8"/>
        <v>"Didactisch materiaal","","","60000000","","unspsc","M","","","","","K","","A010","","60106205","6161000200","True",""</v>
      </c>
    </row>
    <row r="460" spans="1:45" x14ac:dyDescent="0.25">
      <c r="A460" s="1">
        <v>200</v>
      </c>
      <c r="C460" s="1" t="s">
        <v>31</v>
      </c>
      <c r="E460" s="1" t="s">
        <v>352</v>
      </c>
      <c r="F460" s="1">
        <v>3</v>
      </c>
      <c r="G460" s="1" t="s">
        <v>148</v>
      </c>
      <c r="H460" s="8">
        <v>3</v>
      </c>
      <c r="J460" s="1" t="s">
        <v>45</v>
      </c>
      <c r="K460" s="1" t="s">
        <v>187</v>
      </c>
      <c r="O460" s="11">
        <v>60000000</v>
      </c>
      <c r="Q460" s="1" t="s">
        <v>35</v>
      </c>
      <c r="R460" s="1" t="s">
        <v>36</v>
      </c>
      <c r="W460" s="1" t="s">
        <v>42</v>
      </c>
      <c r="Y460" s="1" t="s">
        <v>37</v>
      </c>
      <c r="AA460" s="84">
        <v>60106107</v>
      </c>
      <c r="AB460" s="1" t="s">
        <v>379</v>
      </c>
      <c r="AC460" s="12" t="s">
        <v>65</v>
      </c>
      <c r="AD460" s="13">
        <v>0.21</v>
      </c>
      <c r="AE460" s="14" t="s">
        <v>39</v>
      </c>
      <c r="AG460" s="1">
        <v>6161000200</v>
      </c>
      <c r="AH460" s="1" t="s">
        <v>45</v>
      </c>
      <c r="AI460" s="17" t="s">
        <v>40</v>
      </c>
      <c r="AL460" s="1" t="str">
        <f t="shared" si="8"/>
        <v>"Didactisch materiaal","","","60000000","","unspsc","M","","","","","K","","A010","","60106107","6161000200","True",""</v>
      </c>
    </row>
    <row r="461" spans="1:45" x14ac:dyDescent="0.25">
      <c r="A461" s="1">
        <v>200</v>
      </c>
      <c r="B461" s="1" t="s">
        <v>380</v>
      </c>
      <c r="C461" s="1" t="s">
        <v>31</v>
      </c>
      <c r="E461" s="1" t="s">
        <v>352</v>
      </c>
      <c r="F461" s="1">
        <v>3</v>
      </c>
      <c r="G461" s="1" t="s">
        <v>148</v>
      </c>
      <c r="H461" s="8">
        <v>3</v>
      </c>
      <c r="J461" s="1" t="s">
        <v>45</v>
      </c>
      <c r="K461" s="1" t="s">
        <v>187</v>
      </c>
      <c r="O461" s="11">
        <v>60000000</v>
      </c>
      <c r="Q461" s="1" t="s">
        <v>35</v>
      </c>
      <c r="R461" s="1" t="s">
        <v>36</v>
      </c>
      <c r="W461" s="1" t="s">
        <v>42</v>
      </c>
      <c r="Y461" s="1" t="s">
        <v>37</v>
      </c>
      <c r="AA461" s="84">
        <v>60106015</v>
      </c>
      <c r="AB461" s="1" t="s">
        <v>381</v>
      </c>
      <c r="AC461" s="12" t="s">
        <v>65</v>
      </c>
      <c r="AD461" s="13">
        <v>0.21</v>
      </c>
      <c r="AE461" s="14" t="s">
        <v>39</v>
      </c>
      <c r="AG461" s="1">
        <v>6161000200</v>
      </c>
      <c r="AH461" s="1" t="s">
        <v>45</v>
      </c>
      <c r="AI461" s="17" t="s">
        <v>40</v>
      </c>
      <c r="AL461" s="1" t="str">
        <f t="shared" si="8"/>
        <v>"Didactisch materiaal","","","60000000","","unspsc","M","","","","","K","","A010","","60106015","6161000200","True",""</v>
      </c>
    </row>
    <row r="462" spans="1:45" x14ac:dyDescent="0.25">
      <c r="A462" s="1">
        <v>200</v>
      </c>
      <c r="C462" s="1" t="s">
        <v>62</v>
      </c>
      <c r="E462" s="1" t="s">
        <v>352</v>
      </c>
      <c r="F462" s="1">
        <v>3</v>
      </c>
      <c r="G462" s="1" t="s">
        <v>148</v>
      </c>
      <c r="H462" s="8">
        <v>3</v>
      </c>
      <c r="J462" s="1" t="s">
        <v>45</v>
      </c>
      <c r="K462" s="1" t="s">
        <v>187</v>
      </c>
      <c r="O462" s="11">
        <v>60000000</v>
      </c>
      <c r="Q462" s="1" t="s">
        <v>35</v>
      </c>
      <c r="R462" s="1" t="s">
        <v>36</v>
      </c>
      <c r="W462" s="1" t="s">
        <v>42</v>
      </c>
      <c r="Y462" s="1" t="s">
        <v>37</v>
      </c>
      <c r="AA462" s="84" t="s">
        <v>382</v>
      </c>
      <c r="AB462" s="1" t="s">
        <v>383</v>
      </c>
      <c r="AC462" s="12" t="s">
        <v>65</v>
      </c>
      <c r="AD462" s="13">
        <v>0.21</v>
      </c>
      <c r="AE462" s="14" t="s">
        <v>39</v>
      </c>
      <c r="AG462" s="1">
        <v>6161000200</v>
      </c>
      <c r="AH462" s="1" t="s">
        <v>45</v>
      </c>
      <c r="AI462" s="17" t="s">
        <v>40</v>
      </c>
      <c r="AL462" s="1" t="str">
        <f t="shared" si="8"/>
        <v>"Didactisch materiaal","","","60000000","","unspsc","M","","","","","K","","A010","","601062A","6161000200","True",""</v>
      </c>
      <c r="AM462" s="2"/>
      <c r="AN462" s="2"/>
      <c r="AO462" s="2"/>
      <c r="AP462" s="2"/>
      <c r="AQ462" s="2"/>
      <c r="AR462" s="2"/>
      <c r="AS462" s="2"/>
    </row>
    <row r="463" spans="1:45" x14ac:dyDescent="0.25">
      <c r="A463" s="1">
        <v>200</v>
      </c>
      <c r="C463" s="1" t="s">
        <v>62</v>
      </c>
      <c r="E463" s="1" t="s">
        <v>352</v>
      </c>
      <c r="F463" s="1">
        <v>3</v>
      </c>
      <c r="G463" s="1" t="s">
        <v>148</v>
      </c>
      <c r="H463" s="8">
        <v>3</v>
      </c>
      <c r="J463" s="1" t="s">
        <v>45</v>
      </c>
      <c r="K463" s="1" t="s">
        <v>187</v>
      </c>
      <c r="O463" s="11">
        <v>60000000</v>
      </c>
      <c r="Q463" s="1" t="s">
        <v>35</v>
      </c>
      <c r="R463" s="1" t="s">
        <v>36</v>
      </c>
      <c r="W463" s="1" t="s">
        <v>42</v>
      </c>
      <c r="Y463" s="1" t="s">
        <v>37</v>
      </c>
      <c r="AA463" s="84">
        <v>60106101</v>
      </c>
      <c r="AB463" s="1" t="s">
        <v>384</v>
      </c>
      <c r="AC463" s="12" t="s">
        <v>65</v>
      </c>
      <c r="AD463" s="13">
        <v>0.21</v>
      </c>
      <c r="AE463" s="14" t="s">
        <v>39</v>
      </c>
      <c r="AG463" s="1">
        <v>6161000200</v>
      </c>
      <c r="AH463" s="1" t="s">
        <v>45</v>
      </c>
      <c r="AI463" s="17" t="s">
        <v>40</v>
      </c>
      <c r="AL463" s="1" t="str">
        <f t="shared" si="8"/>
        <v>"Didactisch materiaal","","","60000000","","unspsc","M","","","","","K","","A010","","60106101","6161000200","True",""</v>
      </c>
    </row>
    <row r="464" spans="1:45" x14ac:dyDescent="0.25">
      <c r="A464" s="1">
        <v>200</v>
      </c>
      <c r="C464" s="1" t="s">
        <v>62</v>
      </c>
      <c r="E464" s="1" t="s">
        <v>352</v>
      </c>
      <c r="F464" s="1">
        <v>3</v>
      </c>
      <c r="G464" s="1" t="s">
        <v>148</v>
      </c>
      <c r="H464" s="8">
        <v>3</v>
      </c>
      <c r="J464" s="1" t="s">
        <v>45</v>
      </c>
      <c r="K464" s="1" t="s">
        <v>187</v>
      </c>
      <c r="O464" s="11">
        <v>60000000</v>
      </c>
      <c r="Q464" s="1" t="s">
        <v>35</v>
      </c>
      <c r="R464" s="1" t="s">
        <v>36</v>
      </c>
      <c r="W464" s="1" t="s">
        <v>42</v>
      </c>
      <c r="Y464" s="1" t="s">
        <v>37</v>
      </c>
      <c r="AA464" s="84">
        <v>60106109</v>
      </c>
      <c r="AB464" s="1" t="s">
        <v>385</v>
      </c>
      <c r="AC464" s="12" t="s">
        <v>65</v>
      </c>
      <c r="AD464" s="13">
        <v>0.21</v>
      </c>
      <c r="AE464" s="14" t="s">
        <v>39</v>
      </c>
      <c r="AG464" s="1">
        <v>6161000200</v>
      </c>
      <c r="AH464" s="1" t="s">
        <v>45</v>
      </c>
      <c r="AI464" s="17" t="s">
        <v>40</v>
      </c>
      <c r="AL464" s="1" t="str">
        <f t="shared" si="8"/>
        <v>"Didactisch materiaal","","","60000000","","unspsc","M","","","","","K","","A010","","60106109","6161000200","True",""</v>
      </c>
    </row>
    <row r="465" spans="1:45" x14ac:dyDescent="0.25">
      <c r="A465" s="1">
        <v>200</v>
      </c>
      <c r="B465" s="1" t="s">
        <v>386</v>
      </c>
      <c r="C465" s="1" t="s">
        <v>31</v>
      </c>
      <c r="E465" s="1" t="s">
        <v>352</v>
      </c>
      <c r="F465" s="1">
        <v>3</v>
      </c>
      <c r="G465" s="1" t="s">
        <v>148</v>
      </c>
      <c r="H465" s="8">
        <v>3</v>
      </c>
      <c r="J465" s="1" t="s">
        <v>45</v>
      </c>
      <c r="K465" s="1" t="s">
        <v>187</v>
      </c>
      <c r="O465" s="11">
        <v>60000000</v>
      </c>
      <c r="Q465" s="1" t="s">
        <v>35</v>
      </c>
      <c r="R465" s="1" t="s">
        <v>36</v>
      </c>
      <c r="W465" s="1" t="s">
        <v>42</v>
      </c>
      <c r="Y465" s="1" t="s">
        <v>37</v>
      </c>
      <c r="AA465" s="84" t="s">
        <v>387</v>
      </c>
      <c r="AB465" s="1" t="s">
        <v>388</v>
      </c>
      <c r="AC465" s="12" t="s">
        <v>65</v>
      </c>
      <c r="AD465" s="13">
        <v>0.21</v>
      </c>
      <c r="AE465" s="14" t="s">
        <v>39</v>
      </c>
      <c r="AG465" s="1">
        <v>6161000200</v>
      </c>
      <c r="AH465" s="1" t="s">
        <v>45</v>
      </c>
      <c r="AI465" s="17" t="s">
        <v>40</v>
      </c>
      <c r="AL465" s="1" t="str">
        <f t="shared" si="8"/>
        <v>"Didactisch materiaal","","","60000000","","unspsc","M","","","","","K","","A010","","601062B","6161000200","True",""</v>
      </c>
    </row>
    <row r="466" spans="1:45" x14ac:dyDescent="0.25">
      <c r="A466" s="1">
        <v>200</v>
      </c>
      <c r="C466" s="1" t="s">
        <v>62</v>
      </c>
      <c r="E466" s="1" t="s">
        <v>352</v>
      </c>
      <c r="F466" s="1">
        <v>3</v>
      </c>
      <c r="G466" s="1" t="s">
        <v>148</v>
      </c>
      <c r="H466" s="8">
        <v>17</v>
      </c>
      <c r="J466" s="1" t="s">
        <v>41</v>
      </c>
      <c r="K466" s="1" t="s">
        <v>187</v>
      </c>
      <c r="O466" s="11">
        <v>60000000</v>
      </c>
      <c r="Q466" s="1" t="s">
        <v>35</v>
      </c>
      <c r="R466" s="1" t="s">
        <v>36</v>
      </c>
      <c r="W466" s="1" t="s">
        <v>42</v>
      </c>
      <c r="Y466" s="1" t="s">
        <v>37</v>
      </c>
      <c r="AA466" s="84" t="s">
        <v>389</v>
      </c>
      <c r="AB466" s="1" t="s">
        <v>390</v>
      </c>
      <c r="AC466" s="12" t="s">
        <v>65</v>
      </c>
      <c r="AD466" s="13">
        <v>0.21</v>
      </c>
      <c r="AE466" s="14" t="s">
        <v>39</v>
      </c>
      <c r="AG466" s="1">
        <v>6141100100</v>
      </c>
      <c r="AH466" s="1" t="s">
        <v>66</v>
      </c>
      <c r="AI466" s="17" t="s">
        <v>40</v>
      </c>
      <c r="AL466" s="1" t="str">
        <f t="shared" si="8"/>
        <v>"Operationele werking","","","60000000","","unspsc","M","","","","","K","","A010","","601060A","6141100100","True",""</v>
      </c>
      <c r="AM466" s="2"/>
      <c r="AN466" s="2"/>
      <c r="AO466" s="2"/>
      <c r="AP466" s="2"/>
      <c r="AQ466" s="2"/>
      <c r="AR466" s="2"/>
      <c r="AS466" s="2"/>
    </row>
    <row r="467" spans="1:45" x14ac:dyDescent="0.25">
      <c r="A467" s="1">
        <v>200</v>
      </c>
      <c r="E467" s="1" t="s">
        <v>352</v>
      </c>
      <c r="F467" s="1">
        <v>3</v>
      </c>
      <c r="G467" s="1" t="s">
        <v>148</v>
      </c>
      <c r="H467" s="8">
        <v>3</v>
      </c>
      <c r="J467" s="1" t="s">
        <v>45</v>
      </c>
      <c r="K467" s="1" t="s">
        <v>187</v>
      </c>
      <c r="O467" s="11">
        <v>60000000</v>
      </c>
      <c r="Q467" s="1" t="s">
        <v>35</v>
      </c>
      <c r="R467" s="1" t="s">
        <v>36</v>
      </c>
      <c r="W467" s="1" t="s">
        <v>42</v>
      </c>
      <c r="Y467" s="1" t="s">
        <v>37</v>
      </c>
      <c r="AA467" s="84">
        <v>60106001</v>
      </c>
      <c r="AB467" s="1" t="s">
        <v>391</v>
      </c>
      <c r="AC467" s="12" t="s">
        <v>38</v>
      </c>
      <c r="AD467" s="13">
        <v>0.06</v>
      </c>
      <c r="AE467" s="14" t="s">
        <v>39</v>
      </c>
      <c r="AG467" s="1">
        <v>6161000200</v>
      </c>
      <c r="AH467" s="1" t="s">
        <v>45</v>
      </c>
      <c r="AI467" s="17" t="s">
        <v>40</v>
      </c>
      <c r="AL467" s="1" t="str">
        <f t="shared" si="8"/>
        <v>"Didactisch materiaal","","","60000000","","unspsc","M","","","","","K","","A010","","60106001","6161000200","True",""</v>
      </c>
    </row>
    <row r="468" spans="1:45" x14ac:dyDescent="0.25">
      <c r="A468" s="1">
        <v>200</v>
      </c>
      <c r="E468" s="1" t="s">
        <v>352</v>
      </c>
      <c r="F468" s="1">
        <v>3</v>
      </c>
      <c r="G468" s="1" t="s">
        <v>148</v>
      </c>
      <c r="H468" s="8">
        <v>3</v>
      </c>
      <c r="J468" s="1" t="s">
        <v>45</v>
      </c>
      <c r="K468" s="1" t="s">
        <v>187</v>
      </c>
      <c r="O468" s="11">
        <v>60000000</v>
      </c>
      <c r="Q468" s="1" t="s">
        <v>35</v>
      </c>
      <c r="R468" s="1" t="s">
        <v>36</v>
      </c>
      <c r="W468" s="1" t="s">
        <v>42</v>
      </c>
      <c r="Y468" s="1" t="s">
        <v>37</v>
      </c>
      <c r="AA468" s="84" t="s">
        <v>392</v>
      </c>
      <c r="AB468" s="1" t="s">
        <v>393</v>
      </c>
      <c r="AC468" s="12" t="s">
        <v>186</v>
      </c>
      <c r="AD468" s="13">
        <v>0.06</v>
      </c>
      <c r="AE468" s="14" t="s">
        <v>39</v>
      </c>
      <c r="AG468" s="1">
        <v>6161000200</v>
      </c>
      <c r="AH468" s="1" t="s">
        <v>45</v>
      </c>
      <c r="AI468" s="17" t="s">
        <v>40</v>
      </c>
      <c r="AL468" s="1" t="str">
        <f t="shared" si="8"/>
        <v>"Didactisch materiaal","","","60000000","","unspsc","M","","","","","K","","A010","","6010600X","6161000200","True",""</v>
      </c>
    </row>
    <row r="469" spans="1:45" x14ac:dyDescent="0.25">
      <c r="A469" s="1">
        <v>200</v>
      </c>
      <c r="B469" s="1" t="s">
        <v>394</v>
      </c>
      <c r="E469" s="1" t="s">
        <v>352</v>
      </c>
      <c r="F469" s="1">
        <v>3</v>
      </c>
      <c r="G469" s="1" t="s">
        <v>148</v>
      </c>
      <c r="H469" s="8">
        <v>17</v>
      </c>
      <c r="J469" s="1" t="s">
        <v>41</v>
      </c>
      <c r="K469" s="1" t="s">
        <v>187</v>
      </c>
      <c r="O469" s="11">
        <v>60000000</v>
      </c>
      <c r="Q469" s="1" t="s">
        <v>35</v>
      </c>
      <c r="R469" s="1" t="s">
        <v>36</v>
      </c>
      <c r="W469" s="1" t="s">
        <v>42</v>
      </c>
      <c r="Y469" s="1" t="s">
        <v>37</v>
      </c>
      <c r="AA469" s="84">
        <v>60102310</v>
      </c>
      <c r="AB469" s="1" t="s">
        <v>395</v>
      </c>
      <c r="AC469" s="12" t="s">
        <v>38</v>
      </c>
      <c r="AD469" s="13">
        <v>0.06</v>
      </c>
      <c r="AE469" s="14" t="s">
        <v>39</v>
      </c>
      <c r="AG469" s="1">
        <v>6146000100</v>
      </c>
      <c r="AH469" s="1" t="s">
        <v>183</v>
      </c>
      <c r="AI469" s="17" t="s">
        <v>40</v>
      </c>
      <c r="AL469" s="1" t="str">
        <f t="shared" si="8"/>
        <v>"Operationele werking","","","60000000","","unspsc","M","","","","","K","","A010","","60102310","6146000100","True",""</v>
      </c>
    </row>
    <row r="470" spans="1:45" x14ac:dyDescent="0.25">
      <c r="A470" s="1">
        <v>200</v>
      </c>
      <c r="B470" s="1" t="s">
        <v>396</v>
      </c>
      <c r="E470" s="1" t="s">
        <v>352</v>
      </c>
      <c r="F470" s="1">
        <v>3</v>
      </c>
      <c r="G470" s="1" t="s">
        <v>148</v>
      </c>
      <c r="H470" s="8">
        <v>17</v>
      </c>
      <c r="J470" s="1" t="s">
        <v>41</v>
      </c>
      <c r="K470" s="1" t="s">
        <v>187</v>
      </c>
      <c r="O470" s="11">
        <v>60000000</v>
      </c>
      <c r="Q470" s="1" t="s">
        <v>35</v>
      </c>
      <c r="R470" s="1" t="s">
        <v>36</v>
      </c>
      <c r="W470" s="1" t="s">
        <v>42</v>
      </c>
      <c r="Y470" s="1" t="s">
        <v>37</v>
      </c>
      <c r="AA470" s="84" t="s">
        <v>397</v>
      </c>
      <c r="AB470" s="1" t="s">
        <v>398</v>
      </c>
      <c r="AC470" s="12" t="s">
        <v>186</v>
      </c>
      <c r="AD470" s="13">
        <v>0.06</v>
      </c>
      <c r="AE470" s="14" t="s">
        <v>39</v>
      </c>
      <c r="AG470" s="1">
        <v>6146000100</v>
      </c>
      <c r="AH470" s="1" t="s">
        <v>183</v>
      </c>
      <c r="AI470" s="17" t="s">
        <v>40</v>
      </c>
      <c r="AL470" s="1" t="str">
        <f t="shared" si="8"/>
        <v>"Operationele werking","","","60000000","","unspsc","M","","","","","K","","A010","","6010231X","6146000100","True",""</v>
      </c>
    </row>
    <row r="471" spans="1:45" x14ac:dyDescent="0.25">
      <c r="A471" s="1">
        <v>200</v>
      </c>
      <c r="B471" s="1" t="s">
        <v>386</v>
      </c>
      <c r="E471" s="1" t="s">
        <v>352</v>
      </c>
      <c r="F471" s="1">
        <v>3</v>
      </c>
      <c r="G471" s="1" t="s">
        <v>148</v>
      </c>
      <c r="H471" s="8">
        <v>17</v>
      </c>
      <c r="J471" s="1" t="s">
        <v>41</v>
      </c>
      <c r="K471" s="1" t="s">
        <v>181</v>
      </c>
      <c r="O471" s="11">
        <v>60000000</v>
      </c>
      <c r="Q471" s="1" t="s">
        <v>35</v>
      </c>
      <c r="R471" s="1" t="s">
        <v>36</v>
      </c>
      <c r="W471" s="1" t="s">
        <v>42</v>
      </c>
      <c r="Y471" s="1" t="s">
        <v>37</v>
      </c>
      <c r="AA471" s="84">
        <v>60102311</v>
      </c>
      <c r="AB471" s="1" t="s">
        <v>399</v>
      </c>
      <c r="AC471" s="12" t="s">
        <v>38</v>
      </c>
      <c r="AD471" s="13">
        <v>0.06</v>
      </c>
      <c r="AE471" s="14" t="s">
        <v>39</v>
      </c>
      <c r="AG471" s="1">
        <v>6146000100</v>
      </c>
      <c r="AH471" s="1" t="s">
        <v>183</v>
      </c>
      <c r="AI471" s="17" t="s">
        <v>40</v>
      </c>
      <c r="AL471" s="1" t="str">
        <f t="shared" si="8"/>
        <v>"Operationele werking","","","60000000","","unspsc","M","","","","","K","","A010","","60102311","6146000100","True",""</v>
      </c>
    </row>
    <row r="472" spans="1:45" x14ac:dyDescent="0.25">
      <c r="A472" s="1">
        <v>200</v>
      </c>
      <c r="B472" s="1" t="s">
        <v>386</v>
      </c>
      <c r="E472" s="1" t="s">
        <v>352</v>
      </c>
      <c r="F472" s="1">
        <v>3</v>
      </c>
      <c r="G472" s="1" t="s">
        <v>148</v>
      </c>
      <c r="H472" s="8">
        <v>17</v>
      </c>
      <c r="J472" s="1" t="s">
        <v>41</v>
      </c>
      <c r="K472" s="1" t="s">
        <v>181</v>
      </c>
      <c r="O472" s="11">
        <v>60000000</v>
      </c>
      <c r="Q472" s="1" t="s">
        <v>35</v>
      </c>
      <c r="R472" s="1" t="s">
        <v>36</v>
      </c>
      <c r="W472" s="1" t="s">
        <v>42</v>
      </c>
      <c r="Y472" s="1" t="s">
        <v>37</v>
      </c>
      <c r="AA472" s="84" t="s">
        <v>397</v>
      </c>
      <c r="AB472" s="1" t="s">
        <v>400</v>
      </c>
      <c r="AC472" s="12" t="s">
        <v>186</v>
      </c>
      <c r="AD472" s="13">
        <v>0.06</v>
      </c>
      <c r="AE472" s="14" t="s">
        <v>39</v>
      </c>
      <c r="AG472" s="1">
        <v>6146000100</v>
      </c>
      <c r="AH472" s="1" t="s">
        <v>183</v>
      </c>
      <c r="AI472" s="17" t="s">
        <v>40</v>
      </c>
      <c r="AL472" s="1" t="str">
        <f t="shared" si="8"/>
        <v>"Operationele werking","","","60000000","","unspsc","M","","","","","K","","A010","","6010231X","6146000100","True",""</v>
      </c>
      <c r="AM472" s="2"/>
      <c r="AN472" s="2"/>
      <c r="AO472" s="2"/>
      <c r="AP472" s="2"/>
      <c r="AQ472" s="2"/>
      <c r="AR472" s="2"/>
      <c r="AS472" s="2"/>
    </row>
    <row r="473" spans="1:45" x14ac:dyDescent="0.25">
      <c r="A473" s="1">
        <v>200</v>
      </c>
      <c r="C473" s="1" t="s">
        <v>62</v>
      </c>
      <c r="E473" s="1" t="s">
        <v>352</v>
      </c>
      <c r="F473" s="1">
        <v>3</v>
      </c>
      <c r="G473" s="1" t="s">
        <v>148</v>
      </c>
      <c r="H473" s="8">
        <v>3</v>
      </c>
      <c r="J473" s="1" t="s">
        <v>45</v>
      </c>
      <c r="K473" s="1" t="s">
        <v>187</v>
      </c>
      <c r="O473" s="11">
        <v>60000000</v>
      </c>
      <c r="Q473" s="1" t="s">
        <v>35</v>
      </c>
      <c r="R473" s="1" t="s">
        <v>36</v>
      </c>
      <c r="W473" s="1" t="s">
        <v>42</v>
      </c>
      <c r="Y473" s="1" t="s">
        <v>37</v>
      </c>
      <c r="AA473" s="84">
        <v>60106208</v>
      </c>
      <c r="AB473" s="1" t="s">
        <v>401</v>
      </c>
      <c r="AC473" s="12" t="s">
        <v>65</v>
      </c>
      <c r="AD473" s="13">
        <v>0.21</v>
      </c>
      <c r="AE473" s="14" t="s">
        <v>39</v>
      </c>
      <c r="AG473" s="1">
        <v>6161000200</v>
      </c>
      <c r="AH473" s="1" t="s">
        <v>45</v>
      </c>
      <c r="AI473" s="17" t="s">
        <v>40</v>
      </c>
      <c r="AL473" s="1" t="str">
        <f t="shared" si="8"/>
        <v>"Didactisch materiaal","","","60000000","","unspsc","M","","","","","K","","A010","","60106208","6161000200","True",""</v>
      </c>
    </row>
    <row r="474" spans="1:45" x14ac:dyDescent="0.25">
      <c r="A474" s="1">
        <v>200</v>
      </c>
      <c r="C474" s="1" t="s">
        <v>31</v>
      </c>
      <c r="E474" s="1" t="s">
        <v>352</v>
      </c>
      <c r="F474" s="1">
        <v>3</v>
      </c>
      <c r="G474" s="1" t="s">
        <v>148</v>
      </c>
      <c r="H474" s="8">
        <v>17</v>
      </c>
      <c r="J474" s="1" t="s">
        <v>41</v>
      </c>
      <c r="K474" s="1" t="s">
        <v>151</v>
      </c>
      <c r="O474" s="11">
        <v>73000000</v>
      </c>
      <c r="Q474" s="1" t="s">
        <v>35</v>
      </c>
      <c r="R474" s="1" t="s">
        <v>36</v>
      </c>
      <c r="W474" s="1" t="s">
        <v>42</v>
      </c>
      <c r="Y474" s="1" t="s">
        <v>37</v>
      </c>
      <c r="AA474" s="84" t="s">
        <v>402</v>
      </c>
      <c r="AB474" s="1" t="s">
        <v>403</v>
      </c>
      <c r="AC474" s="12" t="s">
        <v>91</v>
      </c>
      <c r="AD474" s="13">
        <v>0.21</v>
      </c>
      <c r="AE474" s="14" t="s">
        <v>53</v>
      </c>
      <c r="AG474" s="1">
        <v>6141100300</v>
      </c>
      <c r="AH474" s="1" t="s">
        <v>349</v>
      </c>
      <c r="AI474" s="17" t="s">
        <v>40</v>
      </c>
      <c r="AL474" s="1" t="str">
        <f t="shared" si="8"/>
        <v>"Operationele werking","","","73000000","","unspsc","M","","","","","K","","A010","","731521C","6141100300","True",""</v>
      </c>
      <c r="AM474" s="2"/>
      <c r="AN474" s="2"/>
      <c r="AO474" s="2"/>
      <c r="AP474" s="2"/>
      <c r="AQ474" s="2"/>
      <c r="AR474" s="2"/>
      <c r="AS474" s="2"/>
    </row>
    <row r="475" spans="1:45" x14ac:dyDescent="0.25">
      <c r="A475" s="1">
        <v>200</v>
      </c>
      <c r="C475" s="1" t="s">
        <v>31</v>
      </c>
      <c r="E475" s="1" t="s">
        <v>352</v>
      </c>
      <c r="F475" s="1">
        <v>3</v>
      </c>
      <c r="G475" s="1" t="s">
        <v>148</v>
      </c>
      <c r="H475" s="8">
        <v>17</v>
      </c>
      <c r="J475" s="1" t="s">
        <v>41</v>
      </c>
      <c r="K475" s="1" t="s">
        <v>153</v>
      </c>
      <c r="O475" s="11">
        <v>73000000</v>
      </c>
      <c r="Q475" s="1" t="s">
        <v>35</v>
      </c>
      <c r="R475" s="1" t="s">
        <v>36</v>
      </c>
      <c r="W475" s="1" t="s">
        <v>42</v>
      </c>
      <c r="Y475" s="1" t="s">
        <v>37</v>
      </c>
      <c r="AA475" s="84" t="s">
        <v>404</v>
      </c>
      <c r="AB475" s="1" t="s">
        <v>405</v>
      </c>
      <c r="AC475" s="12" t="s">
        <v>91</v>
      </c>
      <c r="AD475" s="13">
        <v>0.21</v>
      </c>
      <c r="AE475" s="14" t="s">
        <v>53</v>
      </c>
      <c r="AG475" s="1">
        <v>6141100300</v>
      </c>
      <c r="AH475" s="1" t="s">
        <v>349</v>
      </c>
      <c r="AI475" s="17" t="s">
        <v>40</v>
      </c>
      <c r="AL475" s="1" t="str">
        <f t="shared" si="8"/>
        <v>"Operationele werking","","","73000000","","unspsc","M","","","","","K","","A010","","731521B","6141100300","True",""</v>
      </c>
    </row>
    <row r="476" spans="1:45" x14ac:dyDescent="0.25">
      <c r="A476" s="1">
        <v>200</v>
      </c>
      <c r="C476" s="1" t="s">
        <v>62</v>
      </c>
      <c r="E476" s="1" t="s">
        <v>352</v>
      </c>
      <c r="F476" s="1">
        <v>3</v>
      </c>
      <c r="G476" s="1" t="s">
        <v>148</v>
      </c>
      <c r="H476" s="8">
        <v>17</v>
      </c>
      <c r="J476" s="1" t="s">
        <v>41</v>
      </c>
      <c r="K476" s="1" t="s">
        <v>187</v>
      </c>
      <c r="O476" s="11">
        <v>73000000</v>
      </c>
      <c r="Q476" s="1" t="s">
        <v>35</v>
      </c>
      <c r="R476" s="1" t="s">
        <v>36</v>
      </c>
      <c r="W476" s="1" t="s">
        <v>42</v>
      </c>
      <c r="Y476" s="1" t="s">
        <v>37</v>
      </c>
      <c r="AA476" s="84" t="s">
        <v>406</v>
      </c>
      <c r="AB476" s="1" t="s">
        <v>407</v>
      </c>
      <c r="AC476" s="12" t="s">
        <v>91</v>
      </c>
      <c r="AD476" s="13">
        <v>0.21</v>
      </c>
      <c r="AE476" s="14" t="s">
        <v>53</v>
      </c>
      <c r="AG476" s="1">
        <v>6141100300</v>
      </c>
      <c r="AH476" s="1" t="s">
        <v>349</v>
      </c>
      <c r="AI476" s="17" t="s">
        <v>40</v>
      </c>
      <c r="AL476" s="1" t="str">
        <f t="shared" si="8"/>
        <v>"Operationele werking","","","73000000","","unspsc","M","","","","","K","","A010","","731521G","6141100300","True",""</v>
      </c>
    </row>
    <row r="477" spans="1:45" x14ac:dyDescent="0.25">
      <c r="A477" s="1">
        <v>200</v>
      </c>
      <c r="C477" s="1" t="s">
        <v>62</v>
      </c>
      <c r="E477" s="1" t="s">
        <v>352</v>
      </c>
      <c r="F477" s="1">
        <v>3</v>
      </c>
      <c r="G477" s="1" t="s">
        <v>148</v>
      </c>
      <c r="H477" s="8">
        <v>4</v>
      </c>
      <c r="J477" s="1" t="s">
        <v>159</v>
      </c>
      <c r="K477" s="1" t="s">
        <v>408</v>
      </c>
      <c r="O477" s="11">
        <v>80000000</v>
      </c>
      <c r="Q477" s="1" t="s">
        <v>35</v>
      </c>
      <c r="R477" s="1" t="s">
        <v>36</v>
      </c>
      <c r="W477" s="1" t="s">
        <v>42</v>
      </c>
      <c r="Y477" s="1" t="s">
        <v>37</v>
      </c>
      <c r="AA477" s="84">
        <v>801315</v>
      </c>
      <c r="AB477" s="1" t="s">
        <v>409</v>
      </c>
      <c r="AC477" s="12" t="s">
        <v>91</v>
      </c>
      <c r="AD477" s="13">
        <v>0.21</v>
      </c>
      <c r="AE477" s="14" t="s">
        <v>53</v>
      </c>
      <c r="AG477" s="1">
        <v>6151000400</v>
      </c>
      <c r="AH477" s="1" t="s">
        <v>160</v>
      </c>
      <c r="AI477" s="17" t="s">
        <v>40</v>
      </c>
      <c r="AL477" s="1" t="str">
        <f t="shared" si="8"/>
        <v>"Evenementen (bv infodagen &amp; personeelsfeest)","","","80000000","","unspsc","M","","","","","K","","A010","","801315","6151000400","True",""</v>
      </c>
    </row>
    <row r="478" spans="1:45" x14ac:dyDescent="0.25">
      <c r="A478" s="1">
        <v>200</v>
      </c>
      <c r="C478" s="1" t="s">
        <v>410</v>
      </c>
      <c r="E478" s="1" t="s">
        <v>352</v>
      </c>
      <c r="F478" s="1">
        <v>3</v>
      </c>
      <c r="G478" s="1" t="s">
        <v>148</v>
      </c>
      <c r="H478" s="8">
        <v>4</v>
      </c>
      <c r="J478" s="1" t="s">
        <v>159</v>
      </c>
      <c r="K478" s="1" t="s">
        <v>408</v>
      </c>
      <c r="O478" s="11">
        <v>80000000</v>
      </c>
      <c r="Q478" s="1" t="s">
        <v>35</v>
      </c>
      <c r="R478" s="1" t="s">
        <v>36</v>
      </c>
      <c r="W478" s="1" t="s">
        <v>42</v>
      </c>
      <c r="Y478" s="1" t="s">
        <v>37</v>
      </c>
      <c r="AA478" s="84" t="s">
        <v>411</v>
      </c>
      <c r="AB478" s="1" t="s">
        <v>412</v>
      </c>
      <c r="AC478" s="12" t="s">
        <v>52</v>
      </c>
      <c r="AD478" s="13">
        <v>0</v>
      </c>
      <c r="AE478" s="14" t="s">
        <v>53</v>
      </c>
      <c r="AG478" s="1">
        <v>6151000400</v>
      </c>
      <c r="AH478" s="1" t="s">
        <v>160</v>
      </c>
      <c r="AI478" s="17" t="s">
        <v>40</v>
      </c>
      <c r="AL478" s="1" t="str">
        <f t="shared" si="8"/>
        <v>"Evenementen (bv infodagen &amp; personeelsfeest)","","","80000000","","unspsc","M","","","","","K","","A010","","801315A","6151000400","True",""</v>
      </c>
    </row>
    <row r="479" spans="1:45" x14ac:dyDescent="0.25">
      <c r="A479" s="1">
        <v>200</v>
      </c>
      <c r="B479" s="1" t="s">
        <v>413</v>
      </c>
      <c r="C479" s="1" t="s">
        <v>410</v>
      </c>
      <c r="E479" s="1" t="s">
        <v>352</v>
      </c>
      <c r="F479" s="1">
        <v>3</v>
      </c>
      <c r="G479" s="1" t="s">
        <v>148</v>
      </c>
      <c r="H479" s="8">
        <v>17</v>
      </c>
      <c r="J479" s="1" t="s">
        <v>41</v>
      </c>
      <c r="K479" s="1" t="s">
        <v>153</v>
      </c>
      <c r="O479" s="11">
        <v>80000000</v>
      </c>
      <c r="Q479" s="1" t="s">
        <v>35</v>
      </c>
      <c r="R479" s="1" t="s">
        <v>36</v>
      </c>
      <c r="W479" s="1" t="s">
        <v>42</v>
      </c>
      <c r="Y479" s="1" t="s">
        <v>37</v>
      </c>
      <c r="AA479" s="84">
        <v>8013</v>
      </c>
      <c r="AB479" s="1" t="s">
        <v>414</v>
      </c>
      <c r="AC479" s="12" t="s">
        <v>52</v>
      </c>
      <c r="AD479" s="13">
        <v>0</v>
      </c>
      <c r="AE479" s="14" t="s">
        <v>53</v>
      </c>
      <c r="AG479" s="1">
        <v>6100000100</v>
      </c>
      <c r="AH479" s="1" t="s">
        <v>415</v>
      </c>
      <c r="AI479" s="17" t="s">
        <v>40</v>
      </c>
      <c r="AL479" s="1" t="str">
        <f t="shared" si="8"/>
        <v>"Operationele werking","","","80000000","","unspsc","M","","","","","K","","A010","","8013","6100000100","True",""</v>
      </c>
    </row>
    <row r="480" spans="1:45" x14ac:dyDescent="0.25">
      <c r="A480" s="1">
        <v>200</v>
      </c>
      <c r="C480" s="1" t="s">
        <v>31</v>
      </c>
      <c r="E480" s="1" t="s">
        <v>352</v>
      </c>
      <c r="F480" s="1">
        <v>3</v>
      </c>
      <c r="G480" s="1" t="s">
        <v>148</v>
      </c>
      <c r="H480" s="8">
        <v>17</v>
      </c>
      <c r="J480" s="1" t="s">
        <v>41</v>
      </c>
      <c r="K480" s="1" t="s">
        <v>151</v>
      </c>
      <c r="O480" s="11">
        <v>81000000</v>
      </c>
      <c r="Q480" s="1" t="s">
        <v>35</v>
      </c>
      <c r="R480" s="1" t="s">
        <v>36</v>
      </c>
      <c r="W480" s="1" t="s">
        <v>42</v>
      </c>
      <c r="Y480" s="1" t="s">
        <v>37</v>
      </c>
      <c r="AA480" s="84">
        <v>811418</v>
      </c>
      <c r="AB480" s="1" t="s">
        <v>416</v>
      </c>
      <c r="AC480" s="12" t="s">
        <v>91</v>
      </c>
      <c r="AD480" s="13">
        <v>0.21</v>
      </c>
      <c r="AE480" s="14" t="s">
        <v>53</v>
      </c>
      <c r="AG480" s="1">
        <v>6141100400</v>
      </c>
      <c r="AH480" s="1" t="s">
        <v>417</v>
      </c>
      <c r="AI480" s="17" t="s">
        <v>40</v>
      </c>
      <c r="AL480" s="1" t="str">
        <f t="shared" si="8"/>
        <v>"Operationele werking","","","81000000","","unspsc","M","","","","","K","","A010","","811418","6141100400","True",""</v>
      </c>
    </row>
    <row r="481" spans="1:45" x14ac:dyDescent="0.25">
      <c r="A481" s="1">
        <v>200</v>
      </c>
      <c r="C481" s="1" t="s">
        <v>31</v>
      </c>
      <c r="E481" s="1" t="s">
        <v>352</v>
      </c>
      <c r="F481" s="1">
        <v>3</v>
      </c>
      <c r="G481" s="1" t="s">
        <v>148</v>
      </c>
      <c r="H481" s="8">
        <v>17</v>
      </c>
      <c r="J481" s="1" t="s">
        <v>41</v>
      </c>
      <c r="K481" s="1" t="s">
        <v>153</v>
      </c>
      <c r="O481" s="11">
        <v>81000000</v>
      </c>
      <c r="Q481" s="1" t="s">
        <v>35</v>
      </c>
      <c r="R481" s="1" t="s">
        <v>36</v>
      </c>
      <c r="W481" s="1" t="s">
        <v>42</v>
      </c>
      <c r="Y481" s="1" t="s">
        <v>37</v>
      </c>
      <c r="AA481" s="84">
        <v>811415</v>
      </c>
      <c r="AB481" s="1" t="s">
        <v>418</v>
      </c>
      <c r="AC481" s="12" t="s">
        <v>91</v>
      </c>
      <c r="AD481" s="13">
        <v>0.21</v>
      </c>
      <c r="AE481" s="14" t="s">
        <v>53</v>
      </c>
      <c r="AG481" s="1">
        <v>6141100400</v>
      </c>
      <c r="AH481" s="1" t="s">
        <v>417</v>
      </c>
      <c r="AI481" s="17" t="s">
        <v>40</v>
      </c>
      <c r="AL481" s="1" t="str">
        <f t="shared" si="8"/>
        <v>"Operationele werking","","","81000000","","unspsc","M","","","","","K","","A010","","811415","6141100400","True",""</v>
      </c>
    </row>
    <row r="482" spans="1:45" x14ac:dyDescent="0.25">
      <c r="A482" s="1">
        <v>200</v>
      </c>
      <c r="C482" s="1" t="s">
        <v>62</v>
      </c>
      <c r="E482" s="1" t="s">
        <v>352</v>
      </c>
      <c r="F482" s="1">
        <v>3</v>
      </c>
      <c r="G482" s="1" t="s">
        <v>148</v>
      </c>
      <c r="H482" s="8">
        <v>17</v>
      </c>
      <c r="J482" s="1" t="s">
        <v>41</v>
      </c>
      <c r="K482" s="1" t="s">
        <v>419</v>
      </c>
      <c r="O482" s="11">
        <v>82000000</v>
      </c>
      <c r="Q482" s="1" t="s">
        <v>35</v>
      </c>
      <c r="R482" s="1" t="s">
        <v>36</v>
      </c>
      <c r="W482" s="1" t="s">
        <v>42</v>
      </c>
      <c r="Y482" s="1" t="s">
        <v>37</v>
      </c>
      <c r="AA482" s="84">
        <v>8213</v>
      </c>
      <c r="AB482" s="1" t="s">
        <v>420</v>
      </c>
      <c r="AC482" s="12" t="s">
        <v>52</v>
      </c>
      <c r="AD482" s="13">
        <v>0</v>
      </c>
      <c r="AE482" s="14" t="s">
        <v>53</v>
      </c>
      <c r="AG482" s="1">
        <v>6030000200</v>
      </c>
      <c r="AH482" s="1" t="s">
        <v>109</v>
      </c>
      <c r="AI482" s="17" t="s">
        <v>40</v>
      </c>
      <c r="AL482" s="1" t="str">
        <f t="shared" si="8"/>
        <v>"Operationele werking","","","82000000","","unspsc","M","","","","","K","","A010","","8213","6030000200","True",""</v>
      </c>
    </row>
    <row r="483" spans="1:45" x14ac:dyDescent="0.25">
      <c r="A483" s="1">
        <v>200</v>
      </c>
      <c r="C483" s="1" t="s">
        <v>62</v>
      </c>
      <c r="E483" s="1" t="s">
        <v>352</v>
      </c>
      <c r="F483" s="1">
        <v>3</v>
      </c>
      <c r="G483" s="1" t="s">
        <v>148</v>
      </c>
      <c r="H483" s="8">
        <v>17</v>
      </c>
      <c r="J483" s="1" t="s">
        <v>41</v>
      </c>
      <c r="K483" s="1" t="s">
        <v>408</v>
      </c>
      <c r="O483" s="11">
        <v>90000000</v>
      </c>
      <c r="Q483" s="1" t="s">
        <v>35</v>
      </c>
      <c r="R483" s="1" t="s">
        <v>36</v>
      </c>
      <c r="W483" s="1" t="s">
        <v>42</v>
      </c>
      <c r="Y483" s="1" t="s">
        <v>37</v>
      </c>
      <c r="AA483" s="84">
        <v>901019</v>
      </c>
      <c r="AB483" s="1" t="s">
        <v>421</v>
      </c>
      <c r="AC483" s="12" t="s">
        <v>91</v>
      </c>
      <c r="AD483" s="13">
        <v>0.21</v>
      </c>
      <c r="AE483" s="14" t="s">
        <v>53</v>
      </c>
      <c r="AG483" s="1">
        <v>6141000100</v>
      </c>
      <c r="AH483" s="1" t="s">
        <v>92</v>
      </c>
      <c r="AI483" s="17" t="s">
        <v>40</v>
      </c>
      <c r="AL483" s="1" t="str">
        <f t="shared" si="8"/>
        <v>"Operationele werking","","","90000000","","unspsc","M","","","","","K","","A010","","901019","6141000100","True",""</v>
      </c>
    </row>
    <row r="484" spans="1:45" x14ac:dyDescent="0.25">
      <c r="A484" s="1">
        <v>200</v>
      </c>
      <c r="C484" s="1" t="s">
        <v>410</v>
      </c>
      <c r="E484" s="1" t="s">
        <v>352</v>
      </c>
      <c r="F484" s="1">
        <v>3</v>
      </c>
      <c r="G484" s="1" t="s">
        <v>148</v>
      </c>
      <c r="H484" s="8">
        <v>17</v>
      </c>
      <c r="J484" s="1" t="s">
        <v>41</v>
      </c>
      <c r="K484" s="1" t="s">
        <v>408</v>
      </c>
      <c r="O484" s="11">
        <v>90000000</v>
      </c>
      <c r="Q484" s="1" t="s">
        <v>35</v>
      </c>
      <c r="R484" s="1" t="s">
        <v>36</v>
      </c>
      <c r="W484" s="1" t="s">
        <v>42</v>
      </c>
      <c r="Y484" s="1" t="s">
        <v>37</v>
      </c>
      <c r="AA484" s="84">
        <v>90101907</v>
      </c>
      <c r="AB484" s="1" t="s">
        <v>422</v>
      </c>
      <c r="AC484" s="12" t="s">
        <v>52</v>
      </c>
      <c r="AD484" s="13">
        <v>0</v>
      </c>
      <c r="AE484" s="14" t="s">
        <v>53</v>
      </c>
      <c r="AG484" s="1">
        <v>6141000100</v>
      </c>
      <c r="AH484" s="1" t="s">
        <v>92</v>
      </c>
      <c r="AI484" s="17" t="s">
        <v>40</v>
      </c>
      <c r="AL484" s="1" t="str">
        <f t="shared" si="8"/>
        <v>"Operationele werking","","","90000000","","unspsc","M","","","","","K","","A010","","90101907","6141000100","True",""</v>
      </c>
    </row>
    <row r="485" spans="1:45" x14ac:dyDescent="0.25">
      <c r="A485" s="1">
        <v>200</v>
      </c>
      <c r="C485" s="1" t="s">
        <v>62</v>
      </c>
      <c r="E485" s="1" t="s">
        <v>423</v>
      </c>
      <c r="F485" s="1">
        <v>4</v>
      </c>
      <c r="G485" s="1" t="s">
        <v>32</v>
      </c>
      <c r="H485" s="8">
        <v>3</v>
      </c>
      <c r="J485" s="1" t="s">
        <v>45</v>
      </c>
      <c r="K485" s="1" t="s">
        <v>424</v>
      </c>
      <c r="O485" s="11">
        <v>70000000</v>
      </c>
      <c r="Q485" s="1" t="s">
        <v>35</v>
      </c>
      <c r="R485" s="1" t="s">
        <v>36</v>
      </c>
      <c r="W485" s="1" t="s">
        <v>42</v>
      </c>
      <c r="Y485" s="1" t="s">
        <v>37</v>
      </c>
      <c r="AA485" s="84">
        <v>7011</v>
      </c>
      <c r="AB485" s="1" t="s">
        <v>424</v>
      </c>
      <c r="AC485" s="12" t="s">
        <v>65</v>
      </c>
      <c r="AD485" s="13">
        <v>0.21</v>
      </c>
      <c r="AE485" s="14" t="s">
        <v>39</v>
      </c>
      <c r="AG485" s="1">
        <v>6161000200</v>
      </c>
      <c r="AH485" s="1" t="s">
        <v>45</v>
      </c>
      <c r="AI485" s="17" t="s">
        <v>40</v>
      </c>
      <c r="AL485" s="1" t="str">
        <f t="shared" si="8"/>
        <v>"Didactisch materiaal","","","70000000","","unspsc","M","","","","","K","","A010","","7011","6161000200","True",""</v>
      </c>
    </row>
    <row r="486" spans="1:45" x14ac:dyDescent="0.25">
      <c r="A486" s="1">
        <v>200</v>
      </c>
      <c r="C486" s="1" t="s">
        <v>62</v>
      </c>
      <c r="F486" s="1">
        <v>5</v>
      </c>
      <c r="G486" s="1" t="s">
        <v>94</v>
      </c>
      <c r="H486" s="8">
        <v>17</v>
      </c>
      <c r="J486" s="1" t="s">
        <v>41</v>
      </c>
      <c r="O486" s="11">
        <v>15000000</v>
      </c>
      <c r="Q486" s="1" t="s">
        <v>35</v>
      </c>
      <c r="R486" s="1" t="s">
        <v>36</v>
      </c>
      <c r="W486" s="1" t="s">
        <v>42</v>
      </c>
      <c r="Y486" s="1" t="s">
        <v>37</v>
      </c>
      <c r="AA486" s="84">
        <v>151015</v>
      </c>
      <c r="AB486" s="1" t="s">
        <v>425</v>
      </c>
      <c r="AC486" s="12" t="s">
        <v>65</v>
      </c>
      <c r="AD486" s="13">
        <v>0.21</v>
      </c>
      <c r="AE486" s="14" t="s">
        <v>39</v>
      </c>
      <c r="AG486" s="1">
        <v>6141100300</v>
      </c>
      <c r="AH486" s="1" t="s">
        <v>349</v>
      </c>
      <c r="AI486" s="17" t="s">
        <v>40</v>
      </c>
      <c r="AL486" s="1" t="str">
        <f t="shared" si="8"/>
        <v>"Operationele werking","","","15000000","","unspsc","M","","","","","K","","A010","","151015","6141100300","True",""</v>
      </c>
    </row>
    <row r="487" spans="1:45" x14ac:dyDescent="0.25">
      <c r="A487" s="1">
        <v>200</v>
      </c>
      <c r="C487" s="1" t="s">
        <v>62</v>
      </c>
      <c r="F487" s="1">
        <v>5</v>
      </c>
      <c r="G487" s="1" t="s">
        <v>73</v>
      </c>
      <c r="H487" s="8">
        <v>17</v>
      </c>
      <c r="J487" s="1" t="s">
        <v>41</v>
      </c>
      <c r="O487" s="11">
        <v>15000000</v>
      </c>
      <c r="Q487" s="1" t="s">
        <v>35</v>
      </c>
      <c r="R487" s="1" t="s">
        <v>36</v>
      </c>
      <c r="W487" s="1" t="s">
        <v>42</v>
      </c>
      <c r="Y487" s="1" t="s">
        <v>37</v>
      </c>
      <c r="AA487" s="84">
        <v>151015</v>
      </c>
      <c r="AB487" s="1" t="s">
        <v>425</v>
      </c>
      <c r="AC487" s="12" t="s">
        <v>65</v>
      </c>
      <c r="AD487" s="13">
        <v>0.21</v>
      </c>
      <c r="AE487" s="14" t="s">
        <v>39</v>
      </c>
      <c r="AG487" s="1">
        <v>6141100300</v>
      </c>
      <c r="AH487" s="1" t="s">
        <v>349</v>
      </c>
      <c r="AI487" s="17" t="s">
        <v>40</v>
      </c>
      <c r="AL487" s="1" t="str">
        <f t="shared" si="8"/>
        <v>"Operationele werking","","","15000000","","unspsc","M","","","","","K","","A010","","151015","6141100300","True",""</v>
      </c>
    </row>
    <row r="488" spans="1:45" x14ac:dyDescent="0.25">
      <c r="A488" s="1">
        <v>200</v>
      </c>
      <c r="C488" s="1" t="s">
        <v>31</v>
      </c>
      <c r="E488" s="1" t="s">
        <v>174</v>
      </c>
      <c r="F488" s="1">
        <v>5</v>
      </c>
      <c r="G488" s="1" t="s">
        <v>94</v>
      </c>
      <c r="H488" s="8">
        <v>9</v>
      </c>
      <c r="J488" s="1" t="s">
        <v>59</v>
      </c>
      <c r="K488" s="1" t="s">
        <v>426</v>
      </c>
      <c r="O488" s="11">
        <v>42000000</v>
      </c>
      <c r="Q488" s="1" t="s">
        <v>35</v>
      </c>
      <c r="R488" s="1" t="s">
        <v>36</v>
      </c>
      <c r="W488" s="1" t="s">
        <v>60</v>
      </c>
      <c r="Y488" s="1" t="s">
        <v>37</v>
      </c>
      <c r="AA488" s="84">
        <v>421722</v>
      </c>
      <c r="AB488" s="1" t="s">
        <v>427</v>
      </c>
      <c r="AC488" s="12" t="s">
        <v>65</v>
      </c>
      <c r="AD488" s="13">
        <v>0.21</v>
      </c>
      <c r="AE488" s="14" t="s">
        <v>39</v>
      </c>
      <c r="AG488" s="1">
        <v>2301000000</v>
      </c>
      <c r="AH488" s="1" t="s">
        <v>76</v>
      </c>
      <c r="AI488" s="17" t="s">
        <v>40</v>
      </c>
      <c r="AL488" s="1" t="str">
        <f t="shared" si="8"/>
        <v>"Investering","","","42000000","","unspsc","M","","","","","A","","A010","","421722","2301000000","True",""</v>
      </c>
    </row>
    <row r="489" spans="1:45" x14ac:dyDescent="0.25">
      <c r="A489" s="1">
        <v>200</v>
      </c>
      <c r="C489" s="1" t="s">
        <v>62</v>
      </c>
      <c r="E489" s="1" t="s">
        <v>174</v>
      </c>
      <c r="F489" s="1">
        <v>5</v>
      </c>
      <c r="G489" s="1" t="s">
        <v>94</v>
      </c>
      <c r="H489" s="8">
        <v>9</v>
      </c>
      <c r="J489" s="1" t="s">
        <v>59</v>
      </c>
      <c r="O489" s="11">
        <v>43000000</v>
      </c>
      <c r="Q489" s="1" t="s">
        <v>35</v>
      </c>
      <c r="R489" s="1" t="s">
        <v>36</v>
      </c>
      <c r="W489" s="1" t="s">
        <v>60</v>
      </c>
      <c r="Y489" s="1" t="s">
        <v>37</v>
      </c>
      <c r="AA489" s="84">
        <v>432121</v>
      </c>
      <c r="AB489" s="1" t="s">
        <v>428</v>
      </c>
      <c r="AC489" s="12" t="s">
        <v>65</v>
      </c>
      <c r="AD489" s="13">
        <v>0.21</v>
      </c>
      <c r="AE489" s="14" t="s">
        <v>39</v>
      </c>
      <c r="AG489" s="1">
        <v>2402000000</v>
      </c>
      <c r="AH489" s="1" t="s">
        <v>98</v>
      </c>
      <c r="AI489" s="17" t="s">
        <v>40</v>
      </c>
      <c r="AL489" s="1" t="str">
        <f t="shared" si="8"/>
        <v>"Investering","","","43000000","","unspsc","M","","","","","A","","A010","","432121","2402000000","True",""</v>
      </c>
    </row>
    <row r="490" spans="1:45" x14ac:dyDescent="0.25">
      <c r="A490" s="1">
        <v>200</v>
      </c>
      <c r="C490" s="1" t="s">
        <v>31</v>
      </c>
      <c r="E490" s="1" t="s">
        <v>174</v>
      </c>
      <c r="F490" s="1">
        <v>5</v>
      </c>
      <c r="G490" s="1" t="s">
        <v>94</v>
      </c>
      <c r="H490" s="8">
        <v>9</v>
      </c>
      <c r="J490" s="1" t="s">
        <v>59</v>
      </c>
      <c r="K490" s="1" t="s">
        <v>95</v>
      </c>
      <c r="O490" s="11">
        <v>43000000</v>
      </c>
      <c r="Q490" s="1" t="s">
        <v>35</v>
      </c>
      <c r="R490" s="1" t="s">
        <v>36</v>
      </c>
      <c r="W490" s="1" t="s">
        <v>60</v>
      </c>
      <c r="Y490" s="1" t="s">
        <v>37</v>
      </c>
      <c r="AA490" s="84">
        <v>43211509</v>
      </c>
      <c r="AB490" s="1" t="s">
        <v>429</v>
      </c>
      <c r="AC490" s="12" t="s">
        <v>65</v>
      </c>
      <c r="AD490" s="13">
        <v>0.21</v>
      </c>
      <c r="AE490" s="14" t="s">
        <v>39</v>
      </c>
      <c r="AG490" s="1">
        <v>2402000000</v>
      </c>
      <c r="AH490" s="1" t="s">
        <v>98</v>
      </c>
      <c r="AI490" s="17" t="s">
        <v>40</v>
      </c>
      <c r="AL490" s="1" t="str">
        <f t="shared" si="8"/>
        <v>"Investering","","","43000000","","unspsc","M","","","","","A","","A010","","43211509","2402000000","True",""</v>
      </c>
      <c r="AM490" s="2"/>
      <c r="AN490" s="2"/>
      <c r="AO490" s="2"/>
      <c r="AP490" s="2"/>
      <c r="AQ490" s="2"/>
      <c r="AR490" s="2"/>
      <c r="AS490" s="2"/>
    </row>
    <row r="491" spans="1:45" x14ac:dyDescent="0.25">
      <c r="A491" s="1">
        <v>200</v>
      </c>
      <c r="C491" s="1" t="s">
        <v>31</v>
      </c>
      <c r="E491" s="1" t="s">
        <v>174</v>
      </c>
      <c r="F491" s="1">
        <v>5</v>
      </c>
      <c r="G491" s="1" t="s">
        <v>94</v>
      </c>
      <c r="H491" s="8">
        <v>9</v>
      </c>
      <c r="J491" s="1" t="s">
        <v>59</v>
      </c>
      <c r="K491" s="1" t="s">
        <v>95</v>
      </c>
      <c r="O491" s="11">
        <v>43000000</v>
      </c>
      <c r="Q491" s="1" t="s">
        <v>35</v>
      </c>
      <c r="R491" s="1" t="s">
        <v>36</v>
      </c>
      <c r="W491" s="1" t="s">
        <v>60</v>
      </c>
      <c r="Y491" s="1" t="s">
        <v>37</v>
      </c>
      <c r="AA491" s="84">
        <v>43211508</v>
      </c>
      <c r="AB491" s="1" t="s">
        <v>430</v>
      </c>
      <c r="AC491" s="12" t="s">
        <v>65</v>
      </c>
      <c r="AD491" s="13">
        <v>0.21</v>
      </c>
      <c r="AE491" s="14" t="s">
        <v>39</v>
      </c>
      <c r="AG491" s="1">
        <v>2302000000</v>
      </c>
      <c r="AH491" s="1" t="s">
        <v>125</v>
      </c>
      <c r="AI491" s="17" t="s">
        <v>40</v>
      </c>
      <c r="AL491" s="1" t="str">
        <f t="shared" si="8"/>
        <v>"Investering","","","43000000","","unspsc","M","","","","","A","","A010","","43211508","2302000000","True",""</v>
      </c>
      <c r="AM491" s="2"/>
      <c r="AN491" s="2"/>
      <c r="AO491" s="2"/>
      <c r="AP491" s="2"/>
      <c r="AQ491" s="2"/>
      <c r="AR491" s="2"/>
      <c r="AS491" s="2"/>
    </row>
    <row r="492" spans="1:45" x14ac:dyDescent="0.25">
      <c r="A492" s="1">
        <v>200</v>
      </c>
      <c r="C492" s="1" t="s">
        <v>31</v>
      </c>
      <c r="E492" s="1" t="s">
        <v>174</v>
      </c>
      <c r="F492" s="1">
        <v>5</v>
      </c>
      <c r="G492" s="1" t="s">
        <v>94</v>
      </c>
      <c r="H492" s="8">
        <v>17</v>
      </c>
      <c r="J492" s="1" t="s">
        <v>41</v>
      </c>
      <c r="K492" s="1" t="s">
        <v>95</v>
      </c>
      <c r="O492" s="11">
        <v>43000000</v>
      </c>
      <c r="Q492" s="1" t="s">
        <v>35</v>
      </c>
      <c r="R492" s="1" t="s">
        <v>36</v>
      </c>
      <c r="W492" s="1" t="s">
        <v>42</v>
      </c>
      <c r="Y492" s="1" t="s">
        <v>37</v>
      </c>
      <c r="AA492" s="84" t="s">
        <v>431</v>
      </c>
      <c r="AB492" s="1" t="s">
        <v>432</v>
      </c>
      <c r="AC492" s="12" t="s">
        <v>104</v>
      </c>
      <c r="AD492" s="13">
        <v>0.21</v>
      </c>
      <c r="AE492" s="14" t="s">
        <v>39</v>
      </c>
      <c r="AG492" s="1">
        <v>6146000900</v>
      </c>
      <c r="AH492" s="1" t="s">
        <v>56</v>
      </c>
      <c r="AI492" s="17" t="s">
        <v>40</v>
      </c>
      <c r="AL492" s="1" t="str">
        <f t="shared" si="8"/>
        <v>"Operationele werking","","","43000000","","unspsc","M","","","","","K","","A010","","4321159X","6146000900","True",""</v>
      </c>
    </row>
    <row r="493" spans="1:45" x14ac:dyDescent="0.25">
      <c r="A493" s="1">
        <v>200</v>
      </c>
      <c r="C493" s="1" t="s">
        <v>31</v>
      </c>
      <c r="E493" s="1" t="s">
        <v>174</v>
      </c>
      <c r="F493" s="1">
        <v>5</v>
      </c>
      <c r="G493" s="1" t="s">
        <v>94</v>
      </c>
      <c r="H493" s="8">
        <v>9</v>
      </c>
      <c r="J493" s="1" t="s">
        <v>59</v>
      </c>
      <c r="K493" s="1" t="s">
        <v>95</v>
      </c>
      <c r="O493" s="11">
        <v>43000000</v>
      </c>
      <c r="Q493" s="1" t="s">
        <v>35</v>
      </c>
      <c r="R493" s="1" t="s">
        <v>36</v>
      </c>
      <c r="W493" s="1" t="s">
        <v>60</v>
      </c>
      <c r="Y493" s="1" t="s">
        <v>37</v>
      </c>
      <c r="AA493" s="84">
        <v>43211612</v>
      </c>
      <c r="AB493" s="1" t="s">
        <v>433</v>
      </c>
      <c r="AC493" s="12" t="s">
        <v>65</v>
      </c>
      <c r="AD493" s="13">
        <v>0.21</v>
      </c>
      <c r="AE493" s="14" t="s">
        <v>39</v>
      </c>
      <c r="AG493" s="1">
        <v>2402000000</v>
      </c>
      <c r="AH493" s="1" t="s">
        <v>98</v>
      </c>
      <c r="AI493" s="17" t="s">
        <v>40</v>
      </c>
      <c r="AL493" s="1" t="str">
        <f t="shared" si="8"/>
        <v>"Investering","","","43000000","","unspsc","M","","","","","A","","A010","","43211612","2402000000","True",""</v>
      </c>
    </row>
    <row r="494" spans="1:45" x14ac:dyDescent="0.25">
      <c r="A494" s="1">
        <v>200</v>
      </c>
      <c r="C494" s="1" t="s">
        <v>31</v>
      </c>
      <c r="E494" s="1" t="s">
        <v>174</v>
      </c>
      <c r="F494" s="1">
        <v>5</v>
      </c>
      <c r="G494" s="1" t="s">
        <v>94</v>
      </c>
      <c r="H494" s="8">
        <v>9</v>
      </c>
      <c r="J494" s="1" t="s">
        <v>59</v>
      </c>
      <c r="K494" s="1" t="s">
        <v>95</v>
      </c>
      <c r="O494" s="11">
        <v>43000000</v>
      </c>
      <c r="Q494" s="1" t="s">
        <v>35</v>
      </c>
      <c r="R494" s="1" t="s">
        <v>36</v>
      </c>
      <c r="W494" s="1" t="s">
        <v>60</v>
      </c>
      <c r="Y494" s="1" t="s">
        <v>37</v>
      </c>
      <c r="AA494" s="84">
        <v>43211503</v>
      </c>
      <c r="AB494" s="1" t="s">
        <v>434</v>
      </c>
      <c r="AC494" s="12" t="s">
        <v>65</v>
      </c>
      <c r="AD494" s="13">
        <v>0.21</v>
      </c>
      <c r="AE494" s="14" t="s">
        <v>39</v>
      </c>
      <c r="AG494" s="1">
        <v>2302000000</v>
      </c>
      <c r="AH494" s="1" t="s">
        <v>125</v>
      </c>
      <c r="AI494" s="17" t="s">
        <v>40</v>
      </c>
      <c r="AL494" s="1" t="str">
        <f t="shared" si="8"/>
        <v>"Investering","","","43000000","","unspsc","M","","","","","A","","A010","","43211503","2302000000","True",""</v>
      </c>
      <c r="AM494" s="2"/>
      <c r="AN494" s="2"/>
      <c r="AO494" s="2"/>
      <c r="AP494" s="2"/>
      <c r="AQ494" s="2"/>
      <c r="AR494" s="2"/>
      <c r="AS494" s="2"/>
    </row>
    <row r="495" spans="1:45" x14ac:dyDescent="0.25">
      <c r="A495" s="1">
        <v>200</v>
      </c>
      <c r="C495" s="1" t="s">
        <v>31</v>
      </c>
      <c r="E495" s="1" t="s">
        <v>174</v>
      </c>
      <c r="F495" s="1">
        <v>5</v>
      </c>
      <c r="G495" s="1" t="s">
        <v>94</v>
      </c>
      <c r="H495" s="8">
        <v>9</v>
      </c>
      <c r="J495" s="1" t="s">
        <v>59</v>
      </c>
      <c r="K495" s="1" t="s">
        <v>95</v>
      </c>
      <c r="O495" s="11">
        <v>43000000</v>
      </c>
      <c r="Q495" s="1" t="s">
        <v>35</v>
      </c>
      <c r="R495" s="1" t="s">
        <v>36</v>
      </c>
      <c r="W495" s="1" t="s">
        <v>60</v>
      </c>
      <c r="Y495" s="1" t="s">
        <v>37</v>
      </c>
      <c r="AA495" s="84">
        <v>432120</v>
      </c>
      <c r="AB495" s="1" t="s">
        <v>435</v>
      </c>
      <c r="AC495" s="12" t="s">
        <v>65</v>
      </c>
      <c r="AD495" s="13">
        <v>0.21</v>
      </c>
      <c r="AE495" s="14" t="s">
        <v>39</v>
      </c>
      <c r="AG495" s="1">
        <v>2302000000</v>
      </c>
      <c r="AH495" s="1" t="s">
        <v>125</v>
      </c>
      <c r="AI495" s="17" t="s">
        <v>40</v>
      </c>
      <c r="AL495" s="1" t="str">
        <f t="shared" si="8"/>
        <v>"Investering","","","43000000","","unspsc","M","","","","","A","","A010","","432120","2302000000","True",""</v>
      </c>
    </row>
    <row r="496" spans="1:45" x14ac:dyDescent="0.25">
      <c r="A496" s="1">
        <v>200</v>
      </c>
      <c r="C496" s="1" t="s">
        <v>31</v>
      </c>
      <c r="E496" s="1" t="s">
        <v>174</v>
      </c>
      <c r="F496" s="1">
        <v>5</v>
      </c>
      <c r="G496" s="1" t="s">
        <v>94</v>
      </c>
      <c r="H496" s="8">
        <v>17</v>
      </c>
      <c r="J496" s="1" t="s">
        <v>41</v>
      </c>
      <c r="K496" s="1" t="s">
        <v>436</v>
      </c>
      <c r="O496" s="11">
        <v>43000000</v>
      </c>
      <c r="Q496" s="1" t="s">
        <v>35</v>
      </c>
      <c r="R496" s="1" t="s">
        <v>36</v>
      </c>
      <c r="W496" s="1" t="s">
        <v>42</v>
      </c>
      <c r="Y496" s="1" t="s">
        <v>37</v>
      </c>
      <c r="AA496" s="84">
        <v>432332</v>
      </c>
      <c r="AB496" s="1" t="s">
        <v>437</v>
      </c>
      <c r="AC496" s="12" t="s">
        <v>91</v>
      </c>
      <c r="AD496" s="13">
        <v>0.21</v>
      </c>
      <c r="AE496" s="14" t="s">
        <v>53</v>
      </c>
      <c r="AG496" s="1">
        <v>6146000500</v>
      </c>
      <c r="AH496" s="1" t="s">
        <v>438</v>
      </c>
      <c r="AI496" s="17" t="s">
        <v>40</v>
      </c>
      <c r="AL496" s="1" t="str">
        <f t="shared" si="8"/>
        <v>"Operationele werking","","","43000000","","unspsc","M","","","","","K","","A010","","432332","6146000500","True",""</v>
      </c>
      <c r="AM496" s="2"/>
      <c r="AN496" s="2"/>
      <c r="AO496" s="2"/>
      <c r="AP496" s="2"/>
      <c r="AQ496" s="2"/>
      <c r="AR496" s="2"/>
      <c r="AS496" s="2"/>
    </row>
    <row r="497" spans="1:45" x14ac:dyDescent="0.25">
      <c r="A497" s="1">
        <v>200</v>
      </c>
      <c r="C497" s="1" t="s">
        <v>62</v>
      </c>
      <c r="E497" s="1" t="s">
        <v>174</v>
      </c>
      <c r="F497" s="1">
        <v>5</v>
      </c>
      <c r="G497" s="1" t="s">
        <v>94</v>
      </c>
      <c r="H497" s="8">
        <v>9</v>
      </c>
      <c r="J497" s="1" t="s">
        <v>59</v>
      </c>
      <c r="O497" s="11">
        <v>52000000</v>
      </c>
      <c r="Q497" s="1" t="s">
        <v>35</v>
      </c>
      <c r="R497" s="1" t="s">
        <v>36</v>
      </c>
      <c r="W497" s="1" t="s">
        <v>60</v>
      </c>
      <c r="Y497" s="1" t="s">
        <v>37</v>
      </c>
      <c r="AA497" s="84">
        <v>521415</v>
      </c>
      <c r="AB497" s="1" t="s">
        <v>439</v>
      </c>
      <c r="AC497" s="12" t="s">
        <v>65</v>
      </c>
      <c r="AD497" s="13">
        <v>0.21</v>
      </c>
      <c r="AE497" s="14" t="s">
        <v>39</v>
      </c>
      <c r="AG497" s="1">
        <v>2301000000</v>
      </c>
      <c r="AH497" s="1" t="s">
        <v>76</v>
      </c>
      <c r="AI497" s="17" t="s">
        <v>40</v>
      </c>
      <c r="AL497" s="1" t="str">
        <f t="shared" si="8"/>
        <v>"Investering","","","52000000","","unspsc","M","","","","","A","","A010","","521415","2301000000","True",""</v>
      </c>
    </row>
    <row r="498" spans="1:45" x14ac:dyDescent="0.25">
      <c r="A498" s="1">
        <v>200</v>
      </c>
      <c r="B498" s="1" t="s">
        <v>440</v>
      </c>
      <c r="C498" s="1" t="s">
        <v>62</v>
      </c>
      <c r="E498" s="1" t="s">
        <v>174</v>
      </c>
      <c r="F498" s="1">
        <v>5</v>
      </c>
      <c r="G498" s="1" t="s">
        <v>94</v>
      </c>
      <c r="H498" s="8">
        <v>9</v>
      </c>
      <c r="J498" s="1" t="s">
        <v>59</v>
      </c>
      <c r="K498" s="1" t="s">
        <v>95</v>
      </c>
      <c r="O498" s="11">
        <v>60000000</v>
      </c>
      <c r="Q498" s="1" t="s">
        <v>35</v>
      </c>
      <c r="R498" s="1" t="s">
        <v>36</v>
      </c>
      <c r="W498" s="1" t="s">
        <v>60</v>
      </c>
      <c r="Y498" s="1" t="s">
        <v>37</v>
      </c>
      <c r="AA498" s="84">
        <v>601011</v>
      </c>
      <c r="AB498" s="1" t="s">
        <v>441</v>
      </c>
      <c r="AC498" s="12" t="s">
        <v>38</v>
      </c>
      <c r="AD498" s="13">
        <v>0.06</v>
      </c>
      <c r="AE498" s="14" t="s">
        <v>39</v>
      </c>
      <c r="AG498" s="1">
        <v>2302000000</v>
      </c>
      <c r="AH498" s="1" t="s">
        <v>125</v>
      </c>
      <c r="AI498" s="17" t="s">
        <v>40</v>
      </c>
      <c r="AL498" s="1" t="str">
        <f t="shared" si="8"/>
        <v>"Investering","","","60000000","","unspsc","M","","","","","A","","A010","","601011","2302000000","True",""</v>
      </c>
      <c r="AM498" s="2"/>
      <c r="AN498" s="2"/>
      <c r="AO498" s="2"/>
      <c r="AP498" s="2"/>
      <c r="AQ498" s="2"/>
      <c r="AR498" s="2"/>
      <c r="AS498" s="2"/>
    </row>
    <row r="499" spans="1:45" x14ac:dyDescent="0.25">
      <c r="A499" s="1">
        <v>200</v>
      </c>
      <c r="B499" s="1" t="s">
        <v>440</v>
      </c>
      <c r="C499" s="1" t="s">
        <v>62</v>
      </c>
      <c r="E499" s="1" t="s">
        <v>174</v>
      </c>
      <c r="F499" s="1">
        <v>5</v>
      </c>
      <c r="G499" s="1" t="s">
        <v>94</v>
      </c>
      <c r="H499" s="8">
        <v>9</v>
      </c>
      <c r="J499" s="1" t="s">
        <v>59</v>
      </c>
      <c r="K499" s="1" t="s">
        <v>95</v>
      </c>
      <c r="O499" s="11">
        <v>60000000</v>
      </c>
      <c r="Q499" s="1" t="s">
        <v>35</v>
      </c>
      <c r="R499" s="1" t="s">
        <v>36</v>
      </c>
      <c r="W499" s="1" t="s">
        <v>60</v>
      </c>
      <c r="Y499" s="1" t="s">
        <v>37</v>
      </c>
      <c r="AA499" s="84" t="s">
        <v>442</v>
      </c>
      <c r="AB499" s="1" t="s">
        <v>443</v>
      </c>
      <c r="AC499" s="12" t="s">
        <v>186</v>
      </c>
      <c r="AD499" s="13">
        <v>0.06</v>
      </c>
      <c r="AE499" s="14" t="s">
        <v>39</v>
      </c>
      <c r="AG499" s="1">
        <v>2302000000</v>
      </c>
      <c r="AH499" s="1" t="s">
        <v>125</v>
      </c>
      <c r="AI499" s="17" t="s">
        <v>40</v>
      </c>
      <c r="AL499" s="1" t="str">
        <f t="shared" si="8"/>
        <v>"Investering","","","60000000","","unspsc","M","","","","","A","","A010","","601011X","2302000000","True",""</v>
      </c>
    </row>
    <row r="500" spans="1:45" x14ac:dyDescent="0.25">
      <c r="A500" s="1">
        <v>200</v>
      </c>
      <c r="C500" s="1" t="s">
        <v>62</v>
      </c>
      <c r="E500" s="1" t="s">
        <v>174</v>
      </c>
      <c r="F500" s="1">
        <v>5</v>
      </c>
      <c r="G500" s="1" t="s">
        <v>94</v>
      </c>
      <c r="H500" s="8">
        <v>17</v>
      </c>
      <c r="J500" s="1" t="s">
        <v>41</v>
      </c>
      <c r="K500" s="1" t="s">
        <v>444</v>
      </c>
      <c r="O500" s="11">
        <v>73000000</v>
      </c>
      <c r="Q500" s="1" t="s">
        <v>35</v>
      </c>
      <c r="R500" s="1" t="s">
        <v>36</v>
      </c>
      <c r="W500" s="1" t="s">
        <v>42</v>
      </c>
      <c r="Y500" s="1" t="s">
        <v>37</v>
      </c>
      <c r="AA500" s="84">
        <v>73152102</v>
      </c>
      <c r="AB500" s="1" t="s">
        <v>445</v>
      </c>
      <c r="AC500" s="12" t="s">
        <v>91</v>
      </c>
      <c r="AD500" s="13">
        <v>0.21</v>
      </c>
      <c r="AE500" s="14" t="s">
        <v>53</v>
      </c>
      <c r="AG500" s="1">
        <v>6141100300</v>
      </c>
      <c r="AH500" s="1" t="s">
        <v>349</v>
      </c>
      <c r="AI500" s="17" t="s">
        <v>40</v>
      </c>
      <c r="AL500" s="1" t="str">
        <f t="shared" si="8"/>
        <v>"Operationele werking","","","73000000","","unspsc","M","","","","","K","","A010","","73152102","6141100300","True",""</v>
      </c>
      <c r="AM500" s="2"/>
      <c r="AN500" s="2"/>
      <c r="AO500" s="2"/>
      <c r="AP500" s="2"/>
      <c r="AQ500" s="2"/>
      <c r="AR500" s="2"/>
      <c r="AS500" s="2"/>
    </row>
    <row r="501" spans="1:45" x14ac:dyDescent="0.25">
      <c r="A501" s="1">
        <v>200</v>
      </c>
      <c r="C501" s="1" t="s">
        <v>31</v>
      </c>
      <c r="E501" s="1" t="s">
        <v>174</v>
      </c>
      <c r="F501" s="1">
        <v>5</v>
      </c>
      <c r="G501" s="1" t="s">
        <v>94</v>
      </c>
      <c r="H501" s="8">
        <v>17</v>
      </c>
      <c r="J501" s="1" t="s">
        <v>41</v>
      </c>
      <c r="K501" s="1" t="s">
        <v>444</v>
      </c>
      <c r="O501" s="11">
        <v>73000000</v>
      </c>
      <c r="Q501" s="1" t="s">
        <v>35</v>
      </c>
      <c r="R501" s="1" t="s">
        <v>36</v>
      </c>
      <c r="W501" s="1" t="s">
        <v>42</v>
      </c>
      <c r="Y501" s="1" t="s">
        <v>37</v>
      </c>
      <c r="AA501" s="84" t="s">
        <v>446</v>
      </c>
      <c r="AB501" s="1" t="s">
        <v>447</v>
      </c>
      <c r="AC501" s="12" t="s">
        <v>91</v>
      </c>
      <c r="AD501" s="13">
        <v>0.21</v>
      </c>
      <c r="AE501" s="14" t="s">
        <v>53</v>
      </c>
      <c r="AG501" s="1">
        <v>6141100300</v>
      </c>
      <c r="AH501" s="1" t="s">
        <v>349</v>
      </c>
      <c r="AI501" s="17" t="s">
        <v>40</v>
      </c>
      <c r="AL501" s="1" t="str">
        <f t="shared" si="8"/>
        <v>"Operationele werking","","","73000000","","unspsc","M","","","","","K","","A010","","731521D","6141100300","True",""</v>
      </c>
    </row>
    <row r="502" spans="1:45" x14ac:dyDescent="0.25">
      <c r="A502" s="1">
        <v>200</v>
      </c>
      <c r="C502" s="1" t="s">
        <v>62</v>
      </c>
      <c r="E502" s="1" t="s">
        <v>174</v>
      </c>
      <c r="F502" s="1">
        <v>5</v>
      </c>
      <c r="G502" s="1" t="s">
        <v>94</v>
      </c>
      <c r="H502" s="8">
        <v>17</v>
      </c>
      <c r="J502" s="1" t="s">
        <v>41</v>
      </c>
      <c r="K502" s="1" t="s">
        <v>444</v>
      </c>
      <c r="O502" s="11">
        <v>73000000</v>
      </c>
      <c r="Q502" s="1" t="s">
        <v>35</v>
      </c>
      <c r="R502" s="1" t="s">
        <v>36</v>
      </c>
      <c r="W502" s="1" t="s">
        <v>42</v>
      </c>
      <c r="Y502" s="1" t="s">
        <v>37</v>
      </c>
      <c r="AA502" s="84" t="s">
        <v>448</v>
      </c>
      <c r="AB502" s="1" t="s">
        <v>449</v>
      </c>
      <c r="AC502" s="12" t="s">
        <v>91</v>
      </c>
      <c r="AD502" s="13">
        <v>0.21</v>
      </c>
      <c r="AE502" s="14" t="s">
        <v>53</v>
      </c>
      <c r="AG502" s="1">
        <v>6141100300</v>
      </c>
      <c r="AH502" s="1" t="s">
        <v>349</v>
      </c>
      <c r="AI502" s="17" t="s">
        <v>40</v>
      </c>
      <c r="AL502" s="1" t="str">
        <f t="shared" si="8"/>
        <v>"Operationele werking","","","73000000","","unspsc","M","","","","","K","","A010","","731521E","6141100300","True",""</v>
      </c>
    </row>
    <row r="503" spans="1:45" x14ac:dyDescent="0.25">
      <c r="A503" s="1">
        <v>200</v>
      </c>
      <c r="C503" s="1" t="s">
        <v>62</v>
      </c>
      <c r="E503" s="1" t="s">
        <v>174</v>
      </c>
      <c r="F503" s="1">
        <v>5</v>
      </c>
      <c r="G503" s="1" t="s">
        <v>94</v>
      </c>
      <c r="H503" s="8">
        <v>17</v>
      </c>
      <c r="J503" s="1" t="s">
        <v>41</v>
      </c>
      <c r="K503" s="1" t="s">
        <v>444</v>
      </c>
      <c r="O503" s="11">
        <v>73000000</v>
      </c>
      <c r="Q503" s="1" t="s">
        <v>35</v>
      </c>
      <c r="R503" s="1" t="s">
        <v>36</v>
      </c>
      <c r="W503" s="1" t="s">
        <v>42</v>
      </c>
      <c r="Y503" s="1" t="s">
        <v>37</v>
      </c>
      <c r="AA503" s="84">
        <v>73152102</v>
      </c>
      <c r="AB503" s="1" t="s">
        <v>450</v>
      </c>
      <c r="AC503" s="12" t="s">
        <v>91</v>
      </c>
      <c r="AD503" s="13">
        <v>0.21</v>
      </c>
      <c r="AE503" s="14" t="s">
        <v>53</v>
      </c>
      <c r="AG503" s="1">
        <v>6141100300</v>
      </c>
      <c r="AH503" s="1" t="s">
        <v>349</v>
      </c>
      <c r="AI503" s="17" t="s">
        <v>40</v>
      </c>
      <c r="AL503" s="1" t="str">
        <f t="shared" si="8"/>
        <v>"Operationele werking","","","73000000","","unspsc","M","","","","","K","","A010","","73152102","6141100300","True",""</v>
      </c>
      <c r="AM503" s="2"/>
      <c r="AN503" s="2"/>
      <c r="AO503" s="2"/>
      <c r="AP503" s="2"/>
      <c r="AQ503" s="2"/>
      <c r="AR503" s="2"/>
      <c r="AS503" s="2"/>
    </row>
    <row r="504" spans="1:45" x14ac:dyDescent="0.25">
      <c r="A504" s="1">
        <v>200</v>
      </c>
      <c r="C504" s="1" t="s">
        <v>62</v>
      </c>
      <c r="E504" s="1" t="s">
        <v>174</v>
      </c>
      <c r="F504" s="1">
        <v>5</v>
      </c>
      <c r="G504" s="1" t="s">
        <v>94</v>
      </c>
      <c r="H504" s="8">
        <v>17</v>
      </c>
      <c r="J504" s="1" t="s">
        <v>41</v>
      </c>
      <c r="K504" s="1" t="s">
        <v>444</v>
      </c>
      <c r="O504" s="11">
        <v>73000000</v>
      </c>
      <c r="Q504" s="1" t="s">
        <v>35</v>
      </c>
      <c r="R504" s="1" t="s">
        <v>36</v>
      </c>
      <c r="W504" s="1" t="s">
        <v>42</v>
      </c>
      <c r="Y504" s="1" t="s">
        <v>37</v>
      </c>
      <c r="AA504" s="84" t="s">
        <v>451</v>
      </c>
      <c r="AB504" s="1" t="s">
        <v>452</v>
      </c>
      <c r="AC504" s="12" t="s">
        <v>91</v>
      </c>
      <c r="AD504" s="13">
        <v>0.21</v>
      </c>
      <c r="AE504" s="14" t="s">
        <v>53</v>
      </c>
      <c r="AG504" s="1">
        <v>6141100300</v>
      </c>
      <c r="AH504" s="1" t="s">
        <v>349</v>
      </c>
      <c r="AI504" s="17" t="s">
        <v>40</v>
      </c>
      <c r="AL504" s="1" t="str">
        <f t="shared" si="8"/>
        <v>"Operationele werking","","","73000000","","unspsc","M","","","","","K","","A010","","731521F","6141100300","True",""</v>
      </c>
    </row>
    <row r="505" spans="1:45" x14ac:dyDescent="0.25">
      <c r="A505" s="1">
        <v>200</v>
      </c>
      <c r="C505" s="1" t="s">
        <v>62</v>
      </c>
      <c r="E505" s="1" t="s">
        <v>174</v>
      </c>
      <c r="F505" s="1">
        <v>5</v>
      </c>
      <c r="G505" s="1" t="s">
        <v>94</v>
      </c>
      <c r="H505" s="8">
        <v>17</v>
      </c>
      <c r="J505" s="1" t="s">
        <v>41</v>
      </c>
      <c r="K505" s="1" t="s">
        <v>444</v>
      </c>
      <c r="O505" s="11">
        <v>73000000</v>
      </c>
      <c r="Q505" s="1" t="s">
        <v>35</v>
      </c>
      <c r="R505" s="1" t="s">
        <v>36</v>
      </c>
      <c r="W505" s="1" t="s">
        <v>42</v>
      </c>
      <c r="Y505" s="1" t="s">
        <v>37</v>
      </c>
      <c r="AA505" s="84">
        <v>73152103</v>
      </c>
      <c r="AB505" s="1" t="s">
        <v>453</v>
      </c>
      <c r="AC505" s="12" t="s">
        <v>91</v>
      </c>
      <c r="AD505" s="13">
        <v>0.21</v>
      </c>
      <c r="AE505" s="14" t="s">
        <v>53</v>
      </c>
      <c r="AG505" s="1">
        <v>6141100300</v>
      </c>
      <c r="AH505" s="1" t="s">
        <v>349</v>
      </c>
      <c r="AI505" s="17" t="s">
        <v>40</v>
      </c>
      <c r="AL505" s="1" t="str">
        <f t="shared" si="8"/>
        <v>"Operationele werking","","","73000000","","unspsc","M","","","","","K","","A010","","73152103","6141100300","True",""</v>
      </c>
    </row>
    <row r="506" spans="1:45" x14ac:dyDescent="0.25">
      <c r="A506" s="1">
        <v>200</v>
      </c>
      <c r="C506" s="1" t="s">
        <v>350</v>
      </c>
      <c r="E506" s="1" t="s">
        <v>174</v>
      </c>
      <c r="F506" s="1">
        <v>5</v>
      </c>
      <c r="G506" s="1" t="s">
        <v>94</v>
      </c>
      <c r="H506" s="8">
        <v>9</v>
      </c>
      <c r="J506" s="1" t="s">
        <v>59</v>
      </c>
      <c r="K506" s="1" t="s">
        <v>112</v>
      </c>
      <c r="O506" s="11">
        <v>80000000</v>
      </c>
      <c r="Q506" s="1" t="s">
        <v>35</v>
      </c>
      <c r="R506" s="1" t="s">
        <v>36</v>
      </c>
      <c r="W506" s="1" t="s">
        <v>60</v>
      </c>
      <c r="Y506" s="1" t="s">
        <v>37</v>
      </c>
      <c r="AA506" s="84">
        <v>8016</v>
      </c>
      <c r="AB506" s="1" t="s">
        <v>454</v>
      </c>
      <c r="AC506" s="12" t="s">
        <v>52</v>
      </c>
      <c r="AD506" s="13">
        <v>0</v>
      </c>
      <c r="AE506" s="14" t="s">
        <v>53</v>
      </c>
      <c r="AG506" s="1">
        <v>2510000000</v>
      </c>
      <c r="AH506" s="1" t="s">
        <v>455</v>
      </c>
      <c r="AI506" s="17" t="s">
        <v>40</v>
      </c>
      <c r="AL506" s="1" t="str">
        <f t="shared" si="8"/>
        <v>"Investering","","","80000000","","unspsc","M","","","","","A","","A010","","8016","2510000000","True",""</v>
      </c>
    </row>
    <row r="507" spans="1:45" x14ac:dyDescent="0.25">
      <c r="A507" s="1">
        <v>200</v>
      </c>
      <c r="C507" s="1" t="s">
        <v>31</v>
      </c>
      <c r="E507" s="1" t="s">
        <v>174</v>
      </c>
      <c r="F507" s="1">
        <v>5</v>
      </c>
      <c r="G507" s="1" t="s">
        <v>94</v>
      </c>
      <c r="H507" s="8">
        <v>17</v>
      </c>
      <c r="J507" s="1" t="s">
        <v>41</v>
      </c>
      <c r="K507" s="1" t="s">
        <v>456</v>
      </c>
      <c r="O507" s="11">
        <v>81000000</v>
      </c>
      <c r="Q507" s="1" t="s">
        <v>35</v>
      </c>
      <c r="R507" s="1" t="s">
        <v>36</v>
      </c>
      <c r="W507" s="1" t="s">
        <v>42</v>
      </c>
      <c r="Y507" s="1" t="s">
        <v>37</v>
      </c>
      <c r="AA507" s="84">
        <v>81141804</v>
      </c>
      <c r="AB507" s="1" t="s">
        <v>457</v>
      </c>
      <c r="AC507" s="12" t="s">
        <v>91</v>
      </c>
      <c r="AD507" s="13">
        <v>0.21</v>
      </c>
      <c r="AE507" s="14" t="s">
        <v>53</v>
      </c>
      <c r="AG507" s="1">
        <v>6141100400</v>
      </c>
      <c r="AH507" s="1" t="s">
        <v>417</v>
      </c>
      <c r="AI507" s="17" t="s">
        <v>40</v>
      </c>
      <c r="AL507" s="1" t="str">
        <f t="shared" si="8"/>
        <v>"Operationele werking","","","81000000","","unspsc","M","","","","","K","","A010","","81141804","6141100400","True",""</v>
      </c>
    </row>
    <row r="508" spans="1:45" x14ac:dyDescent="0.25">
      <c r="A508" s="1">
        <v>200</v>
      </c>
      <c r="C508" s="1" t="s">
        <v>62</v>
      </c>
      <c r="E508" s="1" t="s">
        <v>174</v>
      </c>
      <c r="F508" s="1">
        <v>5</v>
      </c>
      <c r="G508" s="1" t="s">
        <v>94</v>
      </c>
      <c r="H508" s="8">
        <v>17</v>
      </c>
      <c r="J508" s="1" t="s">
        <v>41</v>
      </c>
      <c r="K508" s="1" t="s">
        <v>444</v>
      </c>
      <c r="O508" s="11">
        <v>81000000</v>
      </c>
      <c r="Q508" s="1" t="s">
        <v>35</v>
      </c>
      <c r="R508" s="1" t="s">
        <v>36</v>
      </c>
      <c r="W508" s="1" t="s">
        <v>42</v>
      </c>
      <c r="Y508" s="1" t="s">
        <v>37</v>
      </c>
      <c r="AA508" s="84">
        <v>8111</v>
      </c>
      <c r="AB508" s="1" t="s">
        <v>458</v>
      </c>
      <c r="AC508" s="12" t="s">
        <v>91</v>
      </c>
      <c r="AD508" s="13">
        <v>0.21</v>
      </c>
      <c r="AE508" s="14" t="s">
        <v>53</v>
      </c>
      <c r="AG508" s="1">
        <v>6141100300</v>
      </c>
      <c r="AH508" s="1" t="s">
        <v>349</v>
      </c>
      <c r="AI508" s="17" t="s">
        <v>40</v>
      </c>
      <c r="AL508" s="1" t="str">
        <f t="shared" si="8"/>
        <v>"Operationele werking","","","81000000","","unspsc","M","","","","","K","","A010","","8111","6141100300","True",""</v>
      </c>
    </row>
    <row r="509" spans="1:45" x14ac:dyDescent="0.25">
      <c r="A509" s="1">
        <v>200</v>
      </c>
      <c r="C509" s="1" t="s">
        <v>62</v>
      </c>
      <c r="E509" s="1" t="s">
        <v>174</v>
      </c>
      <c r="F509" s="1">
        <v>5</v>
      </c>
      <c r="G509" s="1" t="s">
        <v>94</v>
      </c>
      <c r="H509" s="8">
        <v>17</v>
      </c>
      <c r="J509" s="1" t="s">
        <v>41</v>
      </c>
      <c r="K509" s="1" t="s">
        <v>444</v>
      </c>
      <c r="O509" s="11">
        <v>81000000</v>
      </c>
      <c r="Q509" s="1" t="s">
        <v>35</v>
      </c>
      <c r="R509" s="1" t="s">
        <v>36</v>
      </c>
      <c r="W509" s="1" t="s">
        <v>42</v>
      </c>
      <c r="Y509" s="1" t="s">
        <v>37</v>
      </c>
      <c r="AA509" s="84">
        <v>811122</v>
      </c>
      <c r="AB509" s="1" t="s">
        <v>459</v>
      </c>
      <c r="AC509" s="12" t="s">
        <v>91</v>
      </c>
      <c r="AD509" s="13">
        <v>0.21</v>
      </c>
      <c r="AE509" s="14" t="s">
        <v>53</v>
      </c>
      <c r="AG509" s="1">
        <v>6141100300</v>
      </c>
      <c r="AH509" s="1" t="s">
        <v>349</v>
      </c>
      <c r="AI509" s="17" t="s">
        <v>40</v>
      </c>
      <c r="AL509" s="1" t="str">
        <f t="shared" si="8"/>
        <v>"Operationele werking","","","81000000","","unspsc","M","","","","","K","","A010","","811122","6141100300","True",""</v>
      </c>
    </row>
    <row r="510" spans="1:45" x14ac:dyDescent="0.25">
      <c r="A510" s="1">
        <v>200</v>
      </c>
      <c r="C510" s="1" t="s">
        <v>62</v>
      </c>
      <c r="E510" s="1" t="s">
        <v>174</v>
      </c>
      <c r="F510" s="1">
        <v>5</v>
      </c>
      <c r="G510" s="1" t="s">
        <v>94</v>
      </c>
      <c r="H510" s="8">
        <v>17</v>
      </c>
      <c r="J510" s="1" t="s">
        <v>41</v>
      </c>
      <c r="K510" s="1" t="s">
        <v>444</v>
      </c>
      <c r="O510" s="11">
        <v>81000000</v>
      </c>
      <c r="Q510" s="1" t="s">
        <v>35</v>
      </c>
      <c r="R510" s="1" t="s">
        <v>36</v>
      </c>
      <c r="W510" s="1" t="s">
        <v>42</v>
      </c>
      <c r="Y510" s="1" t="s">
        <v>37</v>
      </c>
      <c r="AA510" s="84">
        <v>8111</v>
      </c>
      <c r="AB510" s="1" t="s">
        <v>460</v>
      </c>
      <c r="AC510" s="12" t="s">
        <v>91</v>
      </c>
      <c r="AD510" s="13">
        <v>0.21</v>
      </c>
      <c r="AE510" s="14" t="s">
        <v>53</v>
      </c>
      <c r="AG510" s="1">
        <v>6141100300</v>
      </c>
      <c r="AH510" s="1" t="s">
        <v>349</v>
      </c>
      <c r="AI510" s="17" t="s">
        <v>40</v>
      </c>
      <c r="AL510" s="1" t="str">
        <f t="shared" si="8"/>
        <v>"Operationele werking","","","81000000","","unspsc","M","","","","","K","","A010","","8111","6141100300","True",""</v>
      </c>
    </row>
    <row r="511" spans="1:45" x14ac:dyDescent="0.25">
      <c r="A511" s="1">
        <v>200</v>
      </c>
      <c r="C511" s="1" t="s">
        <v>62</v>
      </c>
      <c r="E511" s="1" t="s">
        <v>174</v>
      </c>
      <c r="F511" s="1">
        <v>5</v>
      </c>
      <c r="G511" s="1" t="s">
        <v>94</v>
      </c>
      <c r="H511" s="8">
        <v>17</v>
      </c>
      <c r="J511" s="1" t="s">
        <v>41</v>
      </c>
      <c r="K511" s="1" t="s">
        <v>444</v>
      </c>
      <c r="O511" s="11">
        <v>81000000</v>
      </c>
      <c r="Q511" s="1" t="s">
        <v>35</v>
      </c>
      <c r="R511" s="1" t="s">
        <v>36</v>
      </c>
      <c r="W511" s="1" t="s">
        <v>42</v>
      </c>
      <c r="Y511" s="1" t="s">
        <v>37</v>
      </c>
      <c r="AA511" s="84">
        <v>8111</v>
      </c>
      <c r="AB511" s="1" t="s">
        <v>461</v>
      </c>
      <c r="AC511" s="12" t="s">
        <v>91</v>
      </c>
      <c r="AD511" s="13">
        <v>0.21</v>
      </c>
      <c r="AE511" s="14" t="s">
        <v>53</v>
      </c>
      <c r="AG511" s="1">
        <v>6141100300</v>
      </c>
      <c r="AH511" s="1" t="s">
        <v>349</v>
      </c>
      <c r="AI511" s="17" t="s">
        <v>40</v>
      </c>
      <c r="AL511" s="1" t="str">
        <f t="shared" si="8"/>
        <v>"Operationele werking","","","81000000","","unspsc","M","","","","","K","","A010","","8111","6141100300","True",""</v>
      </c>
    </row>
    <row r="512" spans="1:45" x14ac:dyDescent="0.25">
      <c r="A512" s="1">
        <v>200</v>
      </c>
      <c r="B512" s="1" t="s">
        <v>462</v>
      </c>
      <c r="C512" s="1" t="s">
        <v>48</v>
      </c>
      <c r="E512" s="1" t="s">
        <v>81</v>
      </c>
      <c r="F512" s="1">
        <v>6</v>
      </c>
      <c r="G512" s="1" t="s">
        <v>82</v>
      </c>
      <c r="H512" s="8">
        <v>17</v>
      </c>
      <c r="J512" s="1" t="s">
        <v>41</v>
      </c>
      <c r="K512" s="1" t="s">
        <v>463</v>
      </c>
      <c r="O512" s="11">
        <v>15000000</v>
      </c>
      <c r="Q512" s="1" t="s">
        <v>35</v>
      </c>
      <c r="R512" s="1" t="s">
        <v>36</v>
      </c>
      <c r="W512" s="1" t="s">
        <v>42</v>
      </c>
      <c r="Y512" s="1" t="s">
        <v>37</v>
      </c>
      <c r="AA512" s="84">
        <v>15101701</v>
      </c>
      <c r="AB512" s="1" t="s">
        <v>464</v>
      </c>
      <c r="AC512" s="12" t="s">
        <v>65</v>
      </c>
      <c r="AD512" s="13">
        <v>0.21</v>
      </c>
      <c r="AE512" s="14" t="s">
        <v>39</v>
      </c>
      <c r="AG512" s="1">
        <v>6112000000</v>
      </c>
      <c r="AH512" s="1" t="s">
        <v>463</v>
      </c>
      <c r="AI512" s="17" t="s">
        <v>40</v>
      </c>
      <c r="AL512" s="1" t="str">
        <f t="shared" si="8"/>
        <v>"Operationele werking","","","15000000","","unspsc","M","","","","","K","","A010","","15101701","6112000000","True",""</v>
      </c>
    </row>
    <row r="513" spans="1:45" x14ac:dyDescent="0.25">
      <c r="A513" s="1">
        <v>200</v>
      </c>
      <c r="C513" s="1" t="s">
        <v>62</v>
      </c>
      <c r="D513" s="1" t="s">
        <v>80</v>
      </c>
      <c r="E513" s="1" t="s">
        <v>81</v>
      </c>
      <c r="F513" s="1">
        <v>6</v>
      </c>
      <c r="G513" s="1" t="s">
        <v>82</v>
      </c>
      <c r="H513" s="8">
        <v>9</v>
      </c>
      <c r="J513" s="1" t="s">
        <v>59</v>
      </c>
      <c r="K513" s="1" t="s">
        <v>83</v>
      </c>
      <c r="O513" s="11">
        <v>24000000</v>
      </c>
      <c r="Q513" s="1" t="s">
        <v>35</v>
      </c>
      <c r="R513" s="1" t="s">
        <v>36</v>
      </c>
      <c r="W513" s="1" t="s">
        <v>60</v>
      </c>
      <c r="Y513" s="1" t="s">
        <v>37</v>
      </c>
      <c r="AA513" s="84">
        <v>2410</v>
      </c>
      <c r="AB513" s="1" t="s">
        <v>465</v>
      </c>
      <c r="AC513" s="12" t="s">
        <v>65</v>
      </c>
      <c r="AD513" s="13">
        <v>0.21</v>
      </c>
      <c r="AE513" s="14" t="s">
        <v>39</v>
      </c>
      <c r="AG513" s="1">
        <v>2301000000</v>
      </c>
      <c r="AH513" s="1" t="s">
        <v>76</v>
      </c>
      <c r="AI513" s="17" t="s">
        <v>40</v>
      </c>
      <c r="AL513" s="1" t="str">
        <f t="shared" si="8"/>
        <v>"Investering","","","24000000","","unspsc","M","","","","","A","","A010","","2410","2301000000","True",""</v>
      </c>
    </row>
    <row r="514" spans="1:45" x14ac:dyDescent="0.25">
      <c r="A514" s="1">
        <v>200</v>
      </c>
      <c r="C514" s="1" t="s">
        <v>31</v>
      </c>
      <c r="E514" s="1" t="s">
        <v>81</v>
      </c>
      <c r="F514" s="1">
        <v>6</v>
      </c>
      <c r="G514" s="1" t="s">
        <v>82</v>
      </c>
      <c r="H514" s="8">
        <v>17</v>
      </c>
      <c r="J514" s="1" t="s">
        <v>41</v>
      </c>
      <c r="K514" s="1" t="s">
        <v>191</v>
      </c>
      <c r="O514" s="11">
        <v>46000000</v>
      </c>
      <c r="Q514" s="1" t="s">
        <v>35</v>
      </c>
      <c r="R514" s="1" t="s">
        <v>36</v>
      </c>
      <c r="W514" s="1" t="s">
        <v>42</v>
      </c>
      <c r="Y514" s="1" t="s">
        <v>37</v>
      </c>
      <c r="AA514" s="84">
        <v>4619</v>
      </c>
      <c r="AB514" s="1" t="s">
        <v>466</v>
      </c>
      <c r="AC514" s="12" t="s">
        <v>65</v>
      </c>
      <c r="AD514" s="13">
        <v>0.21</v>
      </c>
      <c r="AE514" s="14" t="s">
        <v>39</v>
      </c>
      <c r="AG514" s="1">
        <v>6103000600</v>
      </c>
      <c r="AH514" s="1" t="s">
        <v>139</v>
      </c>
      <c r="AI514" s="17" t="s">
        <v>40</v>
      </c>
      <c r="AL514" s="1" t="str">
        <f t="shared" si="8"/>
        <v>"Operationele werking","","","46000000","","unspsc","M","","","","","K","","A010","","4619","6103000600","True",""</v>
      </c>
      <c r="AM514" s="2"/>
      <c r="AN514" s="2"/>
      <c r="AO514" s="2"/>
      <c r="AP514" s="2"/>
      <c r="AQ514" s="2"/>
      <c r="AR514" s="2"/>
      <c r="AS514" s="2"/>
    </row>
    <row r="515" spans="1:45" x14ac:dyDescent="0.25">
      <c r="A515" s="1">
        <v>200</v>
      </c>
      <c r="B515" s="21"/>
      <c r="C515" s="21" t="s">
        <v>31</v>
      </c>
      <c r="D515" s="21"/>
      <c r="E515" s="21" t="s">
        <v>81</v>
      </c>
      <c r="F515" s="21">
        <v>6</v>
      </c>
      <c r="G515" s="21" t="s">
        <v>82</v>
      </c>
      <c r="H515" s="8">
        <v>17</v>
      </c>
      <c r="I515" s="22"/>
      <c r="J515" s="21" t="s">
        <v>41</v>
      </c>
      <c r="K515" s="21" t="s">
        <v>191</v>
      </c>
      <c r="L515" s="21"/>
      <c r="M515" s="21"/>
      <c r="N515" s="21"/>
      <c r="O515" s="23">
        <v>46000000</v>
      </c>
      <c r="P515" s="21"/>
      <c r="Q515" s="21" t="s">
        <v>35</v>
      </c>
      <c r="R515" s="21" t="s">
        <v>36</v>
      </c>
      <c r="S515" s="21"/>
      <c r="T515" s="21"/>
      <c r="U515" s="21"/>
      <c r="V515" s="21"/>
      <c r="W515" s="21" t="s">
        <v>42</v>
      </c>
      <c r="X515" s="21"/>
      <c r="Y515" s="21" t="s">
        <v>37</v>
      </c>
      <c r="Z515" s="21"/>
      <c r="AA515" s="85">
        <v>46191601</v>
      </c>
      <c r="AB515" s="21" t="s">
        <v>466</v>
      </c>
      <c r="AC515" s="34" t="s">
        <v>38</v>
      </c>
      <c r="AD515" s="35">
        <v>0.06</v>
      </c>
      <c r="AE515" s="27" t="s">
        <v>39</v>
      </c>
      <c r="AF515" s="28"/>
      <c r="AG515" s="21">
        <v>6103000600</v>
      </c>
      <c r="AH515" s="21" t="s">
        <v>139</v>
      </c>
      <c r="AI515" s="85" t="s">
        <v>40</v>
      </c>
      <c r="AJ515" s="21"/>
      <c r="AK515" s="21"/>
      <c r="AL515" s="1" t="str">
        <f t="shared" si="8"/>
        <v>"Operationele werking","","","46000000","","unspsc","M","","","","","K","","A010","","46191601","6103000600","True",""</v>
      </c>
      <c r="AM515" s="21"/>
      <c r="AN515" s="21"/>
      <c r="AO515" s="21"/>
      <c r="AP515" s="21"/>
      <c r="AQ515" s="21"/>
      <c r="AR515" s="21"/>
      <c r="AS515" s="21"/>
    </row>
    <row r="516" spans="1:45" x14ac:dyDescent="0.25">
      <c r="A516" s="1">
        <v>200</v>
      </c>
      <c r="C516" s="1" t="s">
        <v>31</v>
      </c>
      <c r="D516" s="1" t="s">
        <v>80</v>
      </c>
      <c r="E516" s="1" t="s">
        <v>81</v>
      </c>
      <c r="F516" s="1">
        <v>6</v>
      </c>
      <c r="G516" s="1" t="s">
        <v>82</v>
      </c>
      <c r="H516" s="8">
        <v>17</v>
      </c>
      <c r="J516" s="1" t="s">
        <v>41</v>
      </c>
      <c r="K516" s="1" t="s">
        <v>467</v>
      </c>
      <c r="O516" s="11">
        <v>47000000</v>
      </c>
      <c r="Q516" s="1" t="s">
        <v>35</v>
      </c>
      <c r="R516" s="1" t="s">
        <v>36</v>
      </c>
      <c r="W516" s="1" t="s">
        <v>42</v>
      </c>
      <c r="Y516" s="1" t="s">
        <v>37</v>
      </c>
      <c r="AA516" s="84">
        <v>4712</v>
      </c>
      <c r="AB516" s="1" t="s">
        <v>468</v>
      </c>
      <c r="AC516" s="12" t="s">
        <v>65</v>
      </c>
      <c r="AD516" s="13">
        <v>0.21</v>
      </c>
      <c r="AE516" s="14" t="s">
        <v>39</v>
      </c>
      <c r="AG516" s="1">
        <v>6144000200</v>
      </c>
      <c r="AH516" s="1" t="s">
        <v>469</v>
      </c>
      <c r="AI516" s="17" t="s">
        <v>40</v>
      </c>
      <c r="AL516" s="1" t="str">
        <f t="shared" ref="AL516:AL579" si="9">""""&amp;J516&amp;""""&amp;","&amp;""""&amp;L516&amp;""""&amp;","&amp;""""&amp;M516&amp;""""&amp;","&amp;""""&amp;O516&amp;""""&amp;","&amp;""""&amp;P516&amp;""""&amp;","&amp;""""&amp;Q516&amp;""""&amp;","&amp;""""&amp;R516&amp;""""&amp;","&amp;""""&amp;S516&amp;""""&amp;","&amp;""""&amp;T516&amp;""""&amp;","&amp;""""&amp;U516&amp;""""&amp;","&amp;""""&amp;V516&amp;""""&amp;","&amp;""""&amp;W516&amp;""""&amp;","&amp;""""&amp;X516&amp;""""&amp;","&amp;""""&amp;Y516&amp;""""&amp;","&amp;""""&amp;Z516&amp;""""&amp;","&amp;""""&amp;AA516&amp;""""&amp;","&amp;""""&amp;AG516&amp;""""&amp;","&amp;""""&amp;AI516&amp;""""&amp;","&amp;""""&amp;AJ516&amp;""""&amp;""</f>
        <v>"Operationele werking","","","47000000","","unspsc","M","","","","","K","","A010","","4712","6144000200","True",""</v>
      </c>
      <c r="AM516" s="86"/>
      <c r="AN516" s="86"/>
      <c r="AO516" s="86"/>
      <c r="AP516" s="86"/>
      <c r="AQ516" s="86"/>
      <c r="AR516" s="86"/>
      <c r="AS516" s="86"/>
    </row>
    <row r="517" spans="1:45" x14ac:dyDescent="0.25">
      <c r="A517" s="1">
        <v>200</v>
      </c>
      <c r="C517" s="1" t="s">
        <v>410</v>
      </c>
      <c r="D517" s="1" t="s">
        <v>80</v>
      </c>
      <c r="E517" s="1" t="s">
        <v>81</v>
      </c>
      <c r="F517" s="1">
        <v>6</v>
      </c>
      <c r="G517" s="1" t="s">
        <v>82</v>
      </c>
      <c r="H517" s="8">
        <v>17</v>
      </c>
      <c r="J517" s="1" t="s">
        <v>41</v>
      </c>
      <c r="K517" s="1" t="s">
        <v>467</v>
      </c>
      <c r="O517" s="11">
        <v>47000000</v>
      </c>
      <c r="Q517" s="1" t="s">
        <v>35</v>
      </c>
      <c r="R517" s="1" t="s">
        <v>36</v>
      </c>
      <c r="W517" s="1" t="s">
        <v>42</v>
      </c>
      <c r="Y517" s="1" t="s">
        <v>37</v>
      </c>
      <c r="AA517" s="84">
        <v>471217</v>
      </c>
      <c r="AB517" s="1" t="s">
        <v>470</v>
      </c>
      <c r="AC517" s="12" t="s">
        <v>359</v>
      </c>
      <c r="AD517" s="13">
        <v>0</v>
      </c>
      <c r="AE517" s="14" t="s">
        <v>39</v>
      </c>
      <c r="AG517" s="1">
        <v>6144000400</v>
      </c>
      <c r="AH517" s="1" t="s">
        <v>470</v>
      </c>
      <c r="AI517" s="17" t="s">
        <v>40</v>
      </c>
      <c r="AL517" s="1" t="str">
        <f t="shared" si="9"/>
        <v>"Operationele werking","","","47000000","","unspsc","M","","","","","K","","A010","","471217","6144000400","True",""</v>
      </c>
      <c r="AM517" s="75"/>
      <c r="AN517" s="75"/>
      <c r="AO517" s="75"/>
      <c r="AP517" s="75"/>
      <c r="AQ517" s="75"/>
      <c r="AR517" s="75"/>
      <c r="AS517" s="75"/>
    </row>
    <row r="518" spans="1:45" x14ac:dyDescent="0.25">
      <c r="A518" s="1">
        <v>200</v>
      </c>
      <c r="C518" s="1" t="s">
        <v>31</v>
      </c>
      <c r="D518" s="1" t="s">
        <v>79</v>
      </c>
      <c r="E518" s="1" t="s">
        <v>81</v>
      </c>
      <c r="F518" s="1">
        <v>6</v>
      </c>
      <c r="G518" s="1" t="s">
        <v>82</v>
      </c>
      <c r="H518" s="8">
        <v>17</v>
      </c>
      <c r="J518" s="1" t="s">
        <v>41</v>
      </c>
      <c r="K518" s="1" t="s">
        <v>191</v>
      </c>
      <c r="O518" s="11">
        <v>72000000</v>
      </c>
      <c r="Q518" s="1" t="s">
        <v>35</v>
      </c>
      <c r="R518" s="1" t="s">
        <v>36</v>
      </c>
      <c r="W518" s="1" t="s">
        <v>42</v>
      </c>
      <c r="Y518" s="1" t="s">
        <v>37</v>
      </c>
      <c r="AA518" s="84">
        <v>72101505</v>
      </c>
      <c r="AB518" s="1" t="s">
        <v>471</v>
      </c>
      <c r="AC518" s="12" t="s">
        <v>65</v>
      </c>
      <c r="AD518" s="13">
        <v>0.21</v>
      </c>
      <c r="AE518" s="14" t="s">
        <v>39</v>
      </c>
      <c r="AG518" s="1">
        <v>6103000600</v>
      </c>
      <c r="AH518" s="1" t="s">
        <v>139</v>
      </c>
      <c r="AI518" s="17" t="s">
        <v>40</v>
      </c>
      <c r="AL518" s="1" t="str">
        <f t="shared" si="9"/>
        <v>"Operationele werking","","","72000000","","unspsc","M","","","","","K","","A010","","72101505","6103000600","True",""</v>
      </c>
    </row>
    <row r="519" spans="1:45" x14ac:dyDescent="0.25">
      <c r="A519" s="1">
        <v>200</v>
      </c>
      <c r="C519" s="1" t="s">
        <v>31</v>
      </c>
      <c r="D519" s="1" t="s">
        <v>80</v>
      </c>
      <c r="E519" s="1" t="s">
        <v>81</v>
      </c>
      <c r="F519" s="1">
        <v>6</v>
      </c>
      <c r="G519" s="1" t="s">
        <v>82</v>
      </c>
      <c r="H519" s="8">
        <v>17</v>
      </c>
      <c r="J519" s="1" t="s">
        <v>41</v>
      </c>
      <c r="K519" s="1" t="s">
        <v>467</v>
      </c>
      <c r="O519" s="11">
        <v>76000000</v>
      </c>
      <c r="Q519" s="1" t="s">
        <v>35</v>
      </c>
      <c r="R519" s="1" t="s">
        <v>36</v>
      </c>
      <c r="W519" s="1" t="s">
        <v>42</v>
      </c>
      <c r="Y519" s="1" t="s">
        <v>37</v>
      </c>
      <c r="AA519" s="84">
        <v>761219</v>
      </c>
      <c r="AB519" s="1" t="s">
        <v>472</v>
      </c>
      <c r="AC519" s="12" t="s">
        <v>52</v>
      </c>
      <c r="AD519" s="13">
        <v>0</v>
      </c>
      <c r="AE519" s="14" t="s">
        <v>53</v>
      </c>
      <c r="AG519" s="1">
        <v>6144000200</v>
      </c>
      <c r="AH519" s="1" t="s">
        <v>469</v>
      </c>
      <c r="AI519" s="17" t="s">
        <v>40</v>
      </c>
      <c r="AL519" s="1" t="str">
        <f t="shared" si="9"/>
        <v>"Operationele werking","","","76000000","","unspsc","M","","","","","K","","A010","","761219","6144000200","True",""</v>
      </c>
      <c r="AM519" s="2"/>
      <c r="AN519" s="2"/>
      <c r="AO519" s="2"/>
      <c r="AP519" s="2"/>
      <c r="AQ519" s="2"/>
      <c r="AR519" s="2"/>
      <c r="AS519" s="2"/>
    </row>
    <row r="520" spans="1:45" x14ac:dyDescent="0.25">
      <c r="A520" s="1">
        <v>200</v>
      </c>
      <c r="C520" s="1" t="s">
        <v>31</v>
      </c>
      <c r="D520" s="1" t="s">
        <v>80</v>
      </c>
      <c r="E520" s="1" t="s">
        <v>81</v>
      </c>
      <c r="F520" s="1">
        <v>6</v>
      </c>
      <c r="G520" s="1" t="s">
        <v>82</v>
      </c>
      <c r="H520" s="8">
        <v>17</v>
      </c>
      <c r="J520" s="1" t="s">
        <v>41</v>
      </c>
      <c r="K520" s="1" t="s">
        <v>467</v>
      </c>
      <c r="O520" s="11">
        <v>76000000</v>
      </c>
      <c r="Q520" s="1" t="s">
        <v>35</v>
      </c>
      <c r="R520" s="1" t="s">
        <v>36</v>
      </c>
      <c r="W520" s="1" t="s">
        <v>42</v>
      </c>
      <c r="Y520" s="1" t="s">
        <v>37</v>
      </c>
      <c r="AA520" s="84">
        <v>761215</v>
      </c>
      <c r="AB520" s="1" t="s">
        <v>473</v>
      </c>
      <c r="AC520" s="12" t="s">
        <v>91</v>
      </c>
      <c r="AD520" s="13">
        <v>0.21</v>
      </c>
      <c r="AE520" s="14" t="s">
        <v>53</v>
      </c>
      <c r="AG520" s="1">
        <v>6144000200</v>
      </c>
      <c r="AH520" s="1" t="s">
        <v>469</v>
      </c>
      <c r="AI520" s="17" t="s">
        <v>40</v>
      </c>
      <c r="AL520" s="1" t="str">
        <f t="shared" si="9"/>
        <v>"Operationele werking","","","76000000","","unspsc","M","","","","","K","","A010","","761215","6144000200","True",""</v>
      </c>
    </row>
    <row r="521" spans="1:45" x14ac:dyDescent="0.25">
      <c r="A521" s="1">
        <v>200</v>
      </c>
      <c r="C521" s="1" t="s">
        <v>410</v>
      </c>
      <c r="D521" s="1" t="s">
        <v>80</v>
      </c>
      <c r="E521" s="1" t="s">
        <v>81</v>
      </c>
      <c r="F521" s="1">
        <v>6</v>
      </c>
      <c r="G521" s="1" t="s">
        <v>82</v>
      </c>
      <c r="H521" s="8">
        <v>17</v>
      </c>
      <c r="J521" s="1" t="s">
        <v>41</v>
      </c>
      <c r="K521" s="1" t="s">
        <v>467</v>
      </c>
      <c r="O521" s="11">
        <v>76000000</v>
      </c>
      <c r="Q521" s="1" t="s">
        <v>35</v>
      </c>
      <c r="R521" s="1" t="s">
        <v>36</v>
      </c>
      <c r="W521" s="1" t="s">
        <v>42</v>
      </c>
      <c r="Y521" s="1" t="s">
        <v>37</v>
      </c>
      <c r="AA521" s="84">
        <v>761219</v>
      </c>
      <c r="AB521" s="1" t="s">
        <v>474</v>
      </c>
      <c r="AC521" s="12" t="s">
        <v>52</v>
      </c>
      <c r="AD521" s="13">
        <v>0</v>
      </c>
      <c r="AE521" s="14" t="s">
        <v>53</v>
      </c>
      <c r="AG521" s="1">
        <v>6144000200</v>
      </c>
      <c r="AH521" s="1" t="s">
        <v>469</v>
      </c>
      <c r="AI521" s="17" t="s">
        <v>40</v>
      </c>
      <c r="AL521" s="1" t="str">
        <f t="shared" si="9"/>
        <v>"Operationele werking","","","76000000","","unspsc","M","","","","","K","","A010","","761219","6144000200","True",""</v>
      </c>
    </row>
    <row r="522" spans="1:45" x14ac:dyDescent="0.25">
      <c r="A522" s="1">
        <v>200</v>
      </c>
      <c r="C522" s="1" t="s">
        <v>62</v>
      </c>
      <c r="E522" s="1" t="s">
        <v>81</v>
      </c>
      <c r="F522" s="1">
        <v>6</v>
      </c>
      <c r="G522" s="1" t="s">
        <v>82</v>
      </c>
      <c r="H522" s="8">
        <v>17</v>
      </c>
      <c r="J522" s="1" t="s">
        <v>41</v>
      </c>
      <c r="K522" s="1" t="s">
        <v>475</v>
      </c>
      <c r="O522" s="11">
        <v>80000000</v>
      </c>
      <c r="Q522" s="1" t="s">
        <v>35</v>
      </c>
      <c r="R522" s="1" t="s">
        <v>36</v>
      </c>
      <c r="W522" s="1" t="s">
        <v>42</v>
      </c>
      <c r="Y522" s="1" t="s">
        <v>37</v>
      </c>
      <c r="AA522" s="84">
        <v>801315</v>
      </c>
      <c r="AB522" s="1" t="s">
        <v>475</v>
      </c>
      <c r="AC522" s="12" t="s">
        <v>91</v>
      </c>
      <c r="AD522" s="13">
        <v>0.21</v>
      </c>
      <c r="AE522" s="14" t="s">
        <v>53</v>
      </c>
      <c r="AG522" s="1">
        <v>6100000100</v>
      </c>
      <c r="AH522" s="1" t="s">
        <v>415</v>
      </c>
      <c r="AI522" s="17" t="s">
        <v>40</v>
      </c>
      <c r="AL522" s="1" t="str">
        <f t="shared" si="9"/>
        <v>"Operationele werking","","","80000000","","unspsc","M","","","","","K","","A010","","801315","6100000100","True",""</v>
      </c>
    </row>
    <row r="523" spans="1:45" x14ac:dyDescent="0.25">
      <c r="A523" s="1">
        <v>200</v>
      </c>
      <c r="C523" s="1" t="s">
        <v>410</v>
      </c>
      <c r="E523" s="1" t="s">
        <v>81</v>
      </c>
      <c r="F523" s="1">
        <v>6</v>
      </c>
      <c r="G523" s="1" t="s">
        <v>82</v>
      </c>
      <c r="H523" s="8">
        <v>17</v>
      </c>
      <c r="J523" s="1" t="s">
        <v>41</v>
      </c>
      <c r="K523" s="1" t="s">
        <v>475</v>
      </c>
      <c r="O523" s="11">
        <v>80000000</v>
      </c>
      <c r="Q523" s="1" t="s">
        <v>35</v>
      </c>
      <c r="R523" s="1" t="s">
        <v>36</v>
      </c>
      <c r="W523" s="1" t="s">
        <v>42</v>
      </c>
      <c r="Y523" s="1" t="s">
        <v>37</v>
      </c>
      <c r="AA523" s="84">
        <v>8013</v>
      </c>
      <c r="AB523" s="1" t="s">
        <v>476</v>
      </c>
      <c r="AC523" s="12" t="s">
        <v>52</v>
      </c>
      <c r="AD523" s="13">
        <v>0</v>
      </c>
      <c r="AE523" s="14" t="s">
        <v>53</v>
      </c>
      <c r="AG523" s="1">
        <v>6100000100</v>
      </c>
      <c r="AH523" s="1" t="s">
        <v>415</v>
      </c>
      <c r="AI523" s="17" t="s">
        <v>40</v>
      </c>
      <c r="AL523" s="1" t="str">
        <f t="shared" si="9"/>
        <v>"Operationele werking","","","80000000","","unspsc","M","","","","","K","","A010","","8013","6100000100","True",""</v>
      </c>
    </row>
    <row r="524" spans="1:45" x14ac:dyDescent="0.25">
      <c r="A524" s="1">
        <v>200</v>
      </c>
      <c r="C524" s="1" t="s">
        <v>31</v>
      </c>
      <c r="E524" s="1" t="s">
        <v>81</v>
      </c>
      <c r="F524" s="1">
        <v>6</v>
      </c>
      <c r="G524" s="1" t="s">
        <v>82</v>
      </c>
      <c r="H524" s="8">
        <v>17</v>
      </c>
      <c r="J524" s="1" t="s">
        <v>41</v>
      </c>
      <c r="K524" s="1" t="s">
        <v>477</v>
      </c>
      <c r="O524" s="11">
        <v>81000000</v>
      </c>
      <c r="Q524" s="1" t="s">
        <v>35</v>
      </c>
      <c r="R524" s="1" t="s">
        <v>36</v>
      </c>
      <c r="W524" s="1" t="s">
        <v>42</v>
      </c>
      <c r="Y524" s="1" t="s">
        <v>37</v>
      </c>
      <c r="AA524" s="84">
        <v>811025</v>
      </c>
      <c r="AB524" s="1" t="s">
        <v>478</v>
      </c>
      <c r="AC524" s="12" t="s">
        <v>91</v>
      </c>
      <c r="AD524" s="13">
        <v>0.21</v>
      </c>
      <c r="AE524" s="14" t="s">
        <v>53</v>
      </c>
      <c r="AG524" s="1">
        <v>6103000500</v>
      </c>
      <c r="AH524" s="1" t="s">
        <v>479</v>
      </c>
      <c r="AI524" s="17" t="s">
        <v>40</v>
      </c>
      <c r="AL524" s="1" t="str">
        <f t="shared" si="9"/>
        <v>"Operationele werking","","","81000000","","unspsc","M","","","","","K","","A010","","811025","6103000500","True",""</v>
      </c>
    </row>
    <row r="525" spans="1:45" x14ac:dyDescent="0.25">
      <c r="A525" s="1">
        <v>200</v>
      </c>
      <c r="C525" s="1" t="s">
        <v>31</v>
      </c>
      <c r="D525" s="1" t="s">
        <v>67</v>
      </c>
      <c r="E525" s="1" t="s">
        <v>480</v>
      </c>
      <c r="F525" s="1">
        <v>7</v>
      </c>
      <c r="G525" s="1" t="s">
        <v>68</v>
      </c>
      <c r="H525" s="8">
        <v>17</v>
      </c>
      <c r="J525" s="1" t="s">
        <v>41</v>
      </c>
      <c r="K525" s="1" t="s">
        <v>481</v>
      </c>
      <c r="O525" s="11">
        <v>15000000</v>
      </c>
      <c r="Q525" s="1" t="s">
        <v>35</v>
      </c>
      <c r="R525" s="1" t="s">
        <v>36</v>
      </c>
      <c r="W525" s="1" t="s">
        <v>42</v>
      </c>
      <c r="Y525" s="1" t="s">
        <v>37</v>
      </c>
      <c r="AA525" s="84">
        <v>1510</v>
      </c>
      <c r="AB525" s="1" t="s">
        <v>481</v>
      </c>
      <c r="AC525" s="12" t="s">
        <v>65</v>
      </c>
      <c r="AD525" s="13">
        <v>0.21</v>
      </c>
      <c r="AE525" s="14" t="s">
        <v>39</v>
      </c>
      <c r="AG525" s="1">
        <v>6142100200</v>
      </c>
      <c r="AH525" s="1" t="s">
        <v>482</v>
      </c>
      <c r="AI525" s="17" t="s">
        <v>40</v>
      </c>
      <c r="AL525" s="1" t="str">
        <f t="shared" si="9"/>
        <v>"Operationele werking","","","15000000","","unspsc","M","","","","","K","","A010","","1510","6142100200","True",""</v>
      </c>
    </row>
    <row r="526" spans="1:45" x14ac:dyDescent="0.25">
      <c r="A526" s="1">
        <v>200</v>
      </c>
      <c r="C526" s="1" t="s">
        <v>31</v>
      </c>
      <c r="D526" s="1" t="s">
        <v>67</v>
      </c>
      <c r="F526" s="1">
        <v>7</v>
      </c>
      <c r="G526" s="1" t="s">
        <v>68</v>
      </c>
      <c r="H526" s="8">
        <v>17</v>
      </c>
      <c r="J526" s="1" t="s">
        <v>41</v>
      </c>
      <c r="K526" s="1" t="s">
        <v>483</v>
      </c>
      <c r="O526" s="11">
        <v>25000000</v>
      </c>
      <c r="Q526" s="1" t="s">
        <v>35</v>
      </c>
      <c r="R526" s="1" t="s">
        <v>36</v>
      </c>
      <c r="W526" s="1" t="s">
        <v>42</v>
      </c>
      <c r="Y526" s="1" t="s">
        <v>37</v>
      </c>
      <c r="AA526" s="84">
        <v>2516</v>
      </c>
      <c r="AB526" s="1" t="s">
        <v>484</v>
      </c>
      <c r="AC526" s="12" t="s">
        <v>65</v>
      </c>
      <c r="AD526" s="13">
        <v>0.21</v>
      </c>
      <c r="AE526" s="14" t="s">
        <v>39</v>
      </c>
      <c r="AF526" s="15"/>
      <c r="AG526" s="1">
        <v>6142000200</v>
      </c>
      <c r="AH526" s="1" t="s">
        <v>485</v>
      </c>
      <c r="AI526" s="17" t="s">
        <v>40</v>
      </c>
      <c r="AL526" s="1" t="str">
        <f t="shared" si="9"/>
        <v>"Operationele werking","","","25000000","","unspsc","M","","","","","K","","A010","","2516","6142000200","True",""</v>
      </c>
    </row>
    <row r="527" spans="1:45" x14ac:dyDescent="0.25">
      <c r="A527" s="1">
        <v>200</v>
      </c>
      <c r="B527" s="1" t="s">
        <v>486</v>
      </c>
      <c r="C527" s="1" t="s">
        <v>62</v>
      </c>
      <c r="E527" s="1" t="s">
        <v>480</v>
      </c>
      <c r="F527" s="1">
        <v>7</v>
      </c>
      <c r="G527" s="1" t="s">
        <v>68</v>
      </c>
      <c r="H527" s="8">
        <v>13</v>
      </c>
      <c r="J527" s="1" t="s">
        <v>487</v>
      </c>
      <c r="K527" s="1" t="s">
        <v>488</v>
      </c>
      <c r="O527" s="11">
        <v>78000000</v>
      </c>
      <c r="Q527" s="1" t="s">
        <v>35</v>
      </c>
      <c r="R527" s="1" t="s">
        <v>36</v>
      </c>
      <c r="W527" s="1" t="s">
        <v>42</v>
      </c>
      <c r="Y527" s="1" t="s">
        <v>37</v>
      </c>
      <c r="AA527" s="84" t="s">
        <v>489</v>
      </c>
      <c r="AB527" s="1" t="s">
        <v>490</v>
      </c>
      <c r="AC527" s="12" t="s">
        <v>138</v>
      </c>
      <c r="AD527" s="13">
        <v>0.06</v>
      </c>
      <c r="AE527" s="14" t="s">
        <v>53</v>
      </c>
      <c r="AG527" s="1">
        <v>6152000800</v>
      </c>
      <c r="AH527" s="1" t="s">
        <v>491</v>
      </c>
      <c r="AI527" s="17" t="s">
        <v>40</v>
      </c>
      <c r="AL527" s="1" t="str">
        <f t="shared" si="9"/>
        <v>"Dienstverplaatsingen","","","78000000","","unspsc","M","","","","","K","","A010","","7811A","6152000800","True",""</v>
      </c>
    </row>
    <row r="528" spans="1:45" x14ac:dyDescent="0.25">
      <c r="A528" s="1">
        <v>200</v>
      </c>
      <c r="C528" s="1" t="s">
        <v>62</v>
      </c>
      <c r="E528" s="1" t="s">
        <v>480</v>
      </c>
      <c r="F528" s="1">
        <v>7</v>
      </c>
      <c r="G528" s="1" t="s">
        <v>68</v>
      </c>
      <c r="H528" s="8">
        <v>13</v>
      </c>
      <c r="J528" s="1" t="s">
        <v>487</v>
      </c>
      <c r="K528" s="1" t="s">
        <v>488</v>
      </c>
      <c r="O528" s="11">
        <v>78000000</v>
      </c>
      <c r="Q528" s="1" t="s">
        <v>35</v>
      </c>
      <c r="R528" s="1" t="s">
        <v>36</v>
      </c>
      <c r="W528" s="1" t="s">
        <v>42</v>
      </c>
      <c r="Y528" s="1" t="s">
        <v>37</v>
      </c>
      <c r="AA528" s="84" t="s">
        <v>492</v>
      </c>
      <c r="AB528" s="1" t="s">
        <v>493</v>
      </c>
      <c r="AC528" s="12" t="s">
        <v>52</v>
      </c>
      <c r="AD528" s="13">
        <v>0</v>
      </c>
      <c r="AE528" s="14" t="s">
        <v>53</v>
      </c>
      <c r="AG528" s="1">
        <v>6152000800</v>
      </c>
      <c r="AH528" s="1" t="s">
        <v>491</v>
      </c>
      <c r="AI528" s="17" t="s">
        <v>40</v>
      </c>
      <c r="AL528" s="1" t="str">
        <f t="shared" si="9"/>
        <v>"Dienstverplaatsingen","","","78000000","","unspsc","M","","","","","K","","A010","","7811B","6152000800","True",""</v>
      </c>
    </row>
    <row r="529" spans="1:45" x14ac:dyDescent="0.25">
      <c r="A529" s="1">
        <v>200</v>
      </c>
      <c r="B529" s="1" t="s">
        <v>494</v>
      </c>
      <c r="C529" s="1" t="s">
        <v>31</v>
      </c>
      <c r="E529" s="1" t="s">
        <v>480</v>
      </c>
      <c r="F529" s="1">
        <v>7</v>
      </c>
      <c r="G529" s="1" t="s">
        <v>68</v>
      </c>
      <c r="H529" s="8">
        <v>17</v>
      </c>
      <c r="J529" s="1" t="s">
        <v>41</v>
      </c>
      <c r="K529" s="1" t="s">
        <v>495</v>
      </c>
      <c r="O529" s="11">
        <v>78000000</v>
      </c>
      <c r="Q529" s="1" t="s">
        <v>35</v>
      </c>
      <c r="R529" s="1" t="s">
        <v>36</v>
      </c>
      <c r="W529" s="1" t="s">
        <v>42</v>
      </c>
      <c r="Y529" s="1" t="s">
        <v>37</v>
      </c>
      <c r="AA529" s="84">
        <v>78181505</v>
      </c>
      <c r="AB529" s="1" t="s">
        <v>495</v>
      </c>
      <c r="AC529" s="12" t="s">
        <v>91</v>
      </c>
      <c r="AD529" s="13">
        <v>0.21</v>
      </c>
      <c r="AE529" s="14" t="s">
        <v>53</v>
      </c>
      <c r="AG529" s="1">
        <v>6142100400</v>
      </c>
      <c r="AH529" s="1" t="s">
        <v>496</v>
      </c>
      <c r="AI529" s="17" t="s">
        <v>40</v>
      </c>
      <c r="AL529" s="1" t="str">
        <f t="shared" si="9"/>
        <v>"Operationele werking","","","78000000","","unspsc","M","","","","","K","","A010","","78181505","6142100400","True",""</v>
      </c>
      <c r="AM529" s="2"/>
      <c r="AN529" s="2"/>
      <c r="AO529" s="2"/>
      <c r="AP529" s="2"/>
      <c r="AQ529" s="2"/>
      <c r="AR529" s="2"/>
      <c r="AS529" s="2"/>
    </row>
    <row r="530" spans="1:45" x14ac:dyDescent="0.25">
      <c r="A530" s="1">
        <v>200</v>
      </c>
      <c r="B530" s="1" t="s">
        <v>497</v>
      </c>
      <c r="C530" s="1" t="s">
        <v>31</v>
      </c>
      <c r="E530" s="1" t="s">
        <v>480</v>
      </c>
      <c r="F530" s="1">
        <v>7</v>
      </c>
      <c r="G530" s="1" t="s">
        <v>68</v>
      </c>
      <c r="H530" s="8">
        <v>17</v>
      </c>
      <c r="J530" s="1" t="s">
        <v>41</v>
      </c>
      <c r="K530" s="1" t="s">
        <v>498</v>
      </c>
      <c r="O530" s="11">
        <v>78000000</v>
      </c>
      <c r="Q530" s="1" t="s">
        <v>35</v>
      </c>
      <c r="R530" s="1" t="s">
        <v>36</v>
      </c>
      <c r="W530" s="1" t="s">
        <v>42</v>
      </c>
      <c r="Y530" s="1" t="s">
        <v>37</v>
      </c>
      <c r="AA530" s="84">
        <v>781815</v>
      </c>
      <c r="AB530" s="1" t="s">
        <v>498</v>
      </c>
      <c r="AC530" s="12" t="s">
        <v>91</v>
      </c>
      <c r="AD530" s="13">
        <v>0.21</v>
      </c>
      <c r="AE530" s="14" t="s">
        <v>53</v>
      </c>
      <c r="AG530" s="1">
        <v>6142100300</v>
      </c>
      <c r="AH530" s="1" t="s">
        <v>499</v>
      </c>
      <c r="AI530" s="17" t="s">
        <v>40</v>
      </c>
      <c r="AL530" s="1" t="str">
        <f t="shared" si="9"/>
        <v>"Operationele werking","","","78000000","","unspsc","M","","","","","K","","A010","","781815","6142100300","True",""</v>
      </c>
    </row>
    <row r="531" spans="1:45" x14ac:dyDescent="0.25">
      <c r="A531" s="1">
        <v>200</v>
      </c>
      <c r="B531" s="1" t="s">
        <v>145</v>
      </c>
      <c r="C531" s="1" t="s">
        <v>31</v>
      </c>
      <c r="E531" s="1" t="s">
        <v>480</v>
      </c>
      <c r="F531" s="1">
        <v>7</v>
      </c>
      <c r="G531" s="1" t="s">
        <v>68</v>
      </c>
      <c r="H531" s="8">
        <v>17</v>
      </c>
      <c r="J531" s="1" t="s">
        <v>41</v>
      </c>
      <c r="K531" s="1" t="s">
        <v>500</v>
      </c>
      <c r="O531" s="11">
        <v>78000000</v>
      </c>
      <c r="Q531" s="1" t="s">
        <v>35</v>
      </c>
      <c r="R531" s="1" t="s">
        <v>36</v>
      </c>
      <c r="W531" s="1" t="s">
        <v>42</v>
      </c>
      <c r="Y531" s="1" t="s">
        <v>37</v>
      </c>
      <c r="AA531" s="84">
        <v>7810</v>
      </c>
      <c r="AB531" s="1" t="s">
        <v>500</v>
      </c>
      <c r="AC531" s="12" t="s">
        <v>91</v>
      </c>
      <c r="AD531" s="13">
        <v>0.21</v>
      </c>
      <c r="AE531" s="14" t="s">
        <v>53</v>
      </c>
      <c r="AG531" s="1">
        <v>6147000100</v>
      </c>
      <c r="AH531" s="1" t="s">
        <v>501</v>
      </c>
      <c r="AI531" s="17" t="s">
        <v>40</v>
      </c>
      <c r="AL531" s="1" t="str">
        <f t="shared" si="9"/>
        <v>"Operationele werking","","","78000000","","unspsc","M","","","","","K","","A010","","7810","6147000100","True",""</v>
      </c>
    </row>
    <row r="532" spans="1:45" x14ac:dyDescent="0.25">
      <c r="A532" s="1">
        <v>200</v>
      </c>
      <c r="B532" s="21" t="s">
        <v>145</v>
      </c>
      <c r="C532" s="21" t="s">
        <v>31</v>
      </c>
      <c r="D532" s="21"/>
      <c r="E532" s="21" t="s">
        <v>480</v>
      </c>
      <c r="F532" s="21">
        <v>7</v>
      </c>
      <c r="G532" s="21" t="s">
        <v>68</v>
      </c>
      <c r="H532" s="8">
        <v>17</v>
      </c>
      <c r="I532" s="22"/>
      <c r="J532" s="21" t="s">
        <v>41</v>
      </c>
      <c r="K532" s="21" t="s">
        <v>500</v>
      </c>
      <c r="L532" s="21"/>
      <c r="M532" s="21"/>
      <c r="N532" s="21"/>
      <c r="O532" s="23">
        <v>78000000</v>
      </c>
      <c r="P532" s="21"/>
      <c r="Q532" s="21" t="s">
        <v>35</v>
      </c>
      <c r="R532" s="21" t="s">
        <v>36</v>
      </c>
      <c r="S532" s="21"/>
      <c r="T532" s="21"/>
      <c r="U532" s="21"/>
      <c r="V532" s="21"/>
      <c r="W532" s="21" t="s">
        <v>42</v>
      </c>
      <c r="X532" s="21"/>
      <c r="Y532" s="21" t="s">
        <v>37</v>
      </c>
      <c r="Z532" s="21"/>
      <c r="AA532" s="34">
        <v>781015</v>
      </c>
      <c r="AB532" s="21" t="s">
        <v>500</v>
      </c>
      <c r="AC532" s="34" t="s">
        <v>138</v>
      </c>
      <c r="AD532" s="35">
        <v>0.06</v>
      </c>
      <c r="AE532" s="27" t="s">
        <v>53</v>
      </c>
      <c r="AF532" s="28"/>
      <c r="AG532" s="21">
        <v>6147000100</v>
      </c>
      <c r="AH532" s="21" t="s">
        <v>501</v>
      </c>
      <c r="AI532" s="85" t="s">
        <v>40</v>
      </c>
      <c r="AJ532" s="21"/>
      <c r="AK532" s="21"/>
      <c r="AL532" s="1" t="str">
        <f t="shared" si="9"/>
        <v>"Operationele werking","","","78000000","","unspsc","M","","","","","K","","A010","","781015","6147000100","True",""</v>
      </c>
      <c r="AM532" s="30"/>
      <c r="AN532" s="30"/>
      <c r="AO532" s="30"/>
      <c r="AP532" s="30"/>
      <c r="AQ532" s="30"/>
      <c r="AR532" s="30"/>
      <c r="AS532" s="30"/>
    </row>
    <row r="533" spans="1:45" x14ac:dyDescent="0.25">
      <c r="A533" s="1">
        <v>200</v>
      </c>
      <c r="B533" s="1" t="s">
        <v>502</v>
      </c>
      <c r="C533" s="1" t="s">
        <v>31</v>
      </c>
      <c r="E533" s="1" t="s">
        <v>480</v>
      </c>
      <c r="F533" s="1">
        <v>7</v>
      </c>
      <c r="G533" s="1" t="s">
        <v>68</v>
      </c>
      <c r="H533" s="8">
        <v>1</v>
      </c>
      <c r="J533" s="1" t="s">
        <v>170</v>
      </c>
      <c r="K533" s="1" t="s">
        <v>488</v>
      </c>
      <c r="O533" s="11">
        <v>78000000</v>
      </c>
      <c r="Q533" s="1" t="s">
        <v>35</v>
      </c>
      <c r="R533" s="1" t="s">
        <v>36</v>
      </c>
      <c r="W533" s="1" t="s">
        <v>42</v>
      </c>
      <c r="Y533" s="1" t="s">
        <v>37</v>
      </c>
      <c r="AA533" s="84" t="s">
        <v>503</v>
      </c>
      <c r="AB533" s="1" t="s">
        <v>504</v>
      </c>
      <c r="AC533" s="12" t="s">
        <v>138</v>
      </c>
      <c r="AD533" s="13">
        <v>0.06</v>
      </c>
      <c r="AE533" s="14" t="s">
        <v>53</v>
      </c>
      <c r="AG533" s="1">
        <v>6161000100</v>
      </c>
      <c r="AH533" s="1" t="s">
        <v>246</v>
      </c>
      <c r="AI533" s="17" t="s">
        <v>40</v>
      </c>
      <c r="AL533" s="1" t="str">
        <f t="shared" si="9"/>
        <v>"(Verbruik) Personeel / leerlingen","","","78000000","","unspsc","M","","","","","K","","A010","","7811C","6161000100","True",""</v>
      </c>
    </row>
    <row r="534" spans="1:45" x14ac:dyDescent="0.25">
      <c r="A534" s="1">
        <v>200</v>
      </c>
      <c r="B534" s="1" t="s">
        <v>505</v>
      </c>
      <c r="C534" s="1" t="s">
        <v>31</v>
      </c>
      <c r="E534" s="1" t="s">
        <v>480</v>
      </c>
      <c r="F534" s="1">
        <v>7</v>
      </c>
      <c r="G534" s="1" t="s">
        <v>68</v>
      </c>
      <c r="H534" s="8">
        <v>1</v>
      </c>
      <c r="J534" s="1" t="s">
        <v>170</v>
      </c>
      <c r="K534" s="1" t="s">
        <v>488</v>
      </c>
      <c r="O534" s="11">
        <v>78000000</v>
      </c>
      <c r="Q534" s="1" t="s">
        <v>35</v>
      </c>
      <c r="R534" s="1" t="s">
        <v>36</v>
      </c>
      <c r="W534" s="1" t="s">
        <v>42</v>
      </c>
      <c r="Y534" s="1" t="s">
        <v>37</v>
      </c>
      <c r="AA534" s="84" t="s">
        <v>506</v>
      </c>
      <c r="AB534" s="1" t="s">
        <v>507</v>
      </c>
      <c r="AC534" s="12" t="s">
        <v>138</v>
      </c>
      <c r="AD534" s="13">
        <v>0.06</v>
      </c>
      <c r="AE534" s="14" t="s">
        <v>53</v>
      </c>
      <c r="AG534" s="1">
        <v>6161000100</v>
      </c>
      <c r="AH534" s="1" t="s">
        <v>246</v>
      </c>
      <c r="AI534" s="17" t="s">
        <v>40</v>
      </c>
      <c r="AL534" s="1" t="str">
        <f t="shared" si="9"/>
        <v>"(Verbruik) Personeel / leerlingen","","","78000000","","unspsc","M","","","","","K","","A010","","781118A","6161000100","True",""</v>
      </c>
    </row>
    <row r="535" spans="1:45" x14ac:dyDescent="0.25">
      <c r="A535" s="1">
        <v>200</v>
      </c>
      <c r="C535" s="1" t="s">
        <v>62</v>
      </c>
      <c r="E535" s="1" t="s">
        <v>480</v>
      </c>
      <c r="F535" s="1">
        <v>7</v>
      </c>
      <c r="G535" s="1" t="s">
        <v>68</v>
      </c>
      <c r="H535" s="8">
        <v>8</v>
      </c>
      <c r="J535" s="1" t="s">
        <v>263</v>
      </c>
      <c r="K535" s="1" t="s">
        <v>488</v>
      </c>
      <c r="O535" s="11">
        <v>78000000</v>
      </c>
      <c r="Q535" s="1" t="s">
        <v>35</v>
      </c>
      <c r="R535" s="1" t="s">
        <v>36</v>
      </c>
      <c r="W535" s="1" t="s">
        <v>42</v>
      </c>
      <c r="Y535" s="1" t="s">
        <v>37</v>
      </c>
      <c r="AA535" s="84" t="s">
        <v>508</v>
      </c>
      <c r="AB535" s="1" t="s">
        <v>509</v>
      </c>
      <c r="AC535" s="12" t="s">
        <v>138</v>
      </c>
      <c r="AD535" s="13">
        <v>0.06</v>
      </c>
      <c r="AE535" s="14" t="s">
        <v>53</v>
      </c>
      <c r="AG535" s="1">
        <v>6161000300</v>
      </c>
      <c r="AH535" s="1" t="s">
        <v>264</v>
      </c>
      <c r="AI535" s="17" t="s">
        <v>40</v>
      </c>
      <c r="AL535" s="1" t="str">
        <f t="shared" si="9"/>
        <v>"Projectwerking","","","78000000","","unspsc","M","","","","","K","","A010","","7811D","6161000300","True",""</v>
      </c>
      <c r="AM535" s="2"/>
      <c r="AN535" s="2"/>
      <c r="AO535" s="2"/>
      <c r="AP535" s="2"/>
      <c r="AQ535" s="2"/>
      <c r="AR535" s="2"/>
      <c r="AS535" s="2"/>
    </row>
    <row r="536" spans="1:45" x14ac:dyDescent="0.25">
      <c r="A536" s="1">
        <v>200</v>
      </c>
      <c r="C536" s="1" t="s">
        <v>62</v>
      </c>
      <c r="E536" s="1" t="s">
        <v>480</v>
      </c>
      <c r="F536" s="1">
        <v>7</v>
      </c>
      <c r="G536" s="1" t="s">
        <v>68</v>
      </c>
      <c r="H536" s="8">
        <v>8</v>
      </c>
      <c r="J536" s="1" t="s">
        <v>263</v>
      </c>
      <c r="K536" s="1" t="s">
        <v>488</v>
      </c>
      <c r="O536" s="11">
        <v>78000000</v>
      </c>
      <c r="Q536" s="1" t="s">
        <v>35</v>
      </c>
      <c r="R536" s="1" t="s">
        <v>36</v>
      </c>
      <c r="W536" s="1" t="s">
        <v>42</v>
      </c>
      <c r="Y536" s="1" t="s">
        <v>37</v>
      </c>
      <c r="AA536" s="84" t="s">
        <v>510</v>
      </c>
      <c r="AB536" s="1" t="s">
        <v>511</v>
      </c>
      <c r="AC536" s="12" t="s">
        <v>52</v>
      </c>
      <c r="AD536" s="13">
        <v>0</v>
      </c>
      <c r="AE536" s="14" t="s">
        <v>53</v>
      </c>
      <c r="AG536" s="1">
        <v>6161000300</v>
      </c>
      <c r="AH536" s="1" t="s">
        <v>264</v>
      </c>
      <c r="AI536" s="17" t="s">
        <v>40</v>
      </c>
      <c r="AL536" s="1" t="str">
        <f t="shared" si="9"/>
        <v>"Projectwerking","","","78000000","","unspsc","M","","","","","K","","A010","","7811E","6161000300","True",""</v>
      </c>
    </row>
    <row r="537" spans="1:45" x14ac:dyDescent="0.25">
      <c r="A537" s="1">
        <v>200</v>
      </c>
      <c r="C537" s="1" t="s">
        <v>62</v>
      </c>
      <c r="E537" s="1" t="s">
        <v>480</v>
      </c>
      <c r="F537" s="1">
        <v>7</v>
      </c>
      <c r="G537" s="1" t="s">
        <v>68</v>
      </c>
      <c r="H537" s="8">
        <v>10</v>
      </c>
      <c r="J537" s="1" t="s">
        <v>46</v>
      </c>
      <c r="K537" s="1" t="s">
        <v>488</v>
      </c>
      <c r="O537" s="11">
        <v>78000000</v>
      </c>
      <c r="Q537" s="1" t="s">
        <v>35</v>
      </c>
      <c r="R537" s="1" t="s">
        <v>36</v>
      </c>
      <c r="W537" s="1" t="s">
        <v>42</v>
      </c>
      <c r="Y537" s="1" t="s">
        <v>37</v>
      </c>
      <c r="AA537" s="84" t="s">
        <v>512</v>
      </c>
      <c r="AB537" s="1" t="s">
        <v>513</v>
      </c>
      <c r="AC537" s="12" t="s">
        <v>52</v>
      </c>
      <c r="AD537" s="13">
        <v>0</v>
      </c>
      <c r="AE537" s="14" t="s">
        <v>53</v>
      </c>
      <c r="AG537" s="1">
        <v>6146000400</v>
      </c>
      <c r="AH537" s="1" t="s">
        <v>47</v>
      </c>
      <c r="AI537" s="17" t="s">
        <v>40</v>
      </c>
      <c r="AL537" s="1" t="str">
        <f t="shared" si="9"/>
        <v>"Representatie externen","","","78000000","","unspsc","M","","","","","K","","A010","","7811I","6146000400","True",""</v>
      </c>
    </row>
    <row r="538" spans="1:45" x14ac:dyDescent="0.25">
      <c r="A538" s="1">
        <v>200</v>
      </c>
      <c r="C538" s="1" t="s">
        <v>62</v>
      </c>
      <c r="E538" s="1" t="s">
        <v>480</v>
      </c>
      <c r="F538" s="1">
        <v>7</v>
      </c>
      <c r="G538" s="1" t="s">
        <v>68</v>
      </c>
      <c r="H538" s="8">
        <v>12</v>
      </c>
      <c r="J538" s="1" t="s">
        <v>514</v>
      </c>
      <c r="K538" s="1" t="s">
        <v>488</v>
      </c>
      <c r="O538" s="11">
        <v>78000000</v>
      </c>
      <c r="Q538" s="1" t="s">
        <v>35</v>
      </c>
      <c r="R538" s="1" t="s">
        <v>36</v>
      </c>
      <c r="W538" s="1" t="s">
        <v>42</v>
      </c>
      <c r="Y538" s="1" t="s">
        <v>37</v>
      </c>
      <c r="AA538" s="84" t="s">
        <v>515</v>
      </c>
      <c r="AB538" s="1" t="s">
        <v>516</v>
      </c>
      <c r="AC538" s="12" t="s">
        <v>52</v>
      </c>
      <c r="AD538" s="13">
        <v>0</v>
      </c>
      <c r="AE538" s="14" t="s">
        <v>53</v>
      </c>
      <c r="AG538" s="1">
        <v>6130001400</v>
      </c>
      <c r="AH538" s="1" t="s">
        <v>517</v>
      </c>
      <c r="AI538" s="17" t="s">
        <v>40</v>
      </c>
      <c r="AL538" s="1" t="str">
        <f t="shared" si="9"/>
        <v>"Wijk-werker","","","78000000","","unspsc","M","","","","","K","","A010","","7811J","6130001400","True",""</v>
      </c>
    </row>
    <row r="539" spans="1:45" x14ac:dyDescent="0.25">
      <c r="A539" s="1">
        <v>200</v>
      </c>
      <c r="C539" s="1" t="s">
        <v>62</v>
      </c>
      <c r="E539" s="1" t="s">
        <v>480</v>
      </c>
      <c r="F539" s="1">
        <v>7</v>
      </c>
      <c r="G539" s="1" t="s">
        <v>68</v>
      </c>
      <c r="H539" s="8">
        <v>18</v>
      </c>
      <c r="J539" s="1" t="s">
        <v>167</v>
      </c>
      <c r="K539" s="1" t="s">
        <v>518</v>
      </c>
      <c r="O539" s="11">
        <v>78000000</v>
      </c>
      <c r="Q539" s="1" t="s">
        <v>35</v>
      </c>
      <c r="R539" s="1" t="s">
        <v>36</v>
      </c>
      <c r="W539" s="1" t="s">
        <v>42</v>
      </c>
      <c r="Y539" s="1" t="s">
        <v>37</v>
      </c>
      <c r="AA539" s="84" t="s">
        <v>519</v>
      </c>
      <c r="AB539" s="1" t="s">
        <v>520</v>
      </c>
      <c r="AC539" s="12" t="s">
        <v>138</v>
      </c>
      <c r="AD539" s="13">
        <v>0.06</v>
      </c>
      <c r="AE539" s="14" t="s">
        <v>53</v>
      </c>
      <c r="AG539" s="1">
        <v>6152000100</v>
      </c>
      <c r="AH539" s="1" t="s">
        <v>168</v>
      </c>
      <c r="AI539" s="17" t="s">
        <v>40</v>
      </c>
      <c r="AL539" s="1" t="str">
        <f t="shared" si="9"/>
        <v>"Nascholing","","","78000000","","unspsc","M","","","","","K","","A010","","7811F","6152000100","True",""</v>
      </c>
    </row>
    <row r="540" spans="1:45" x14ac:dyDescent="0.25">
      <c r="A540" s="1">
        <v>200</v>
      </c>
      <c r="C540" s="1" t="s">
        <v>62</v>
      </c>
      <c r="E540" s="1" t="s">
        <v>480</v>
      </c>
      <c r="F540" s="1">
        <v>7</v>
      </c>
      <c r="G540" s="1" t="s">
        <v>68</v>
      </c>
      <c r="H540" s="8">
        <v>18</v>
      </c>
      <c r="J540" s="1" t="s">
        <v>167</v>
      </c>
      <c r="K540" s="1" t="s">
        <v>518</v>
      </c>
      <c r="O540" s="11">
        <v>78000000</v>
      </c>
      <c r="Q540" s="1" t="s">
        <v>35</v>
      </c>
      <c r="R540" s="1" t="s">
        <v>36</v>
      </c>
      <c r="W540" s="1" t="s">
        <v>42</v>
      </c>
      <c r="Y540" s="1" t="s">
        <v>37</v>
      </c>
      <c r="AA540" s="84" t="s">
        <v>521</v>
      </c>
      <c r="AB540" s="1" t="s">
        <v>522</v>
      </c>
      <c r="AC540" s="12" t="s">
        <v>52</v>
      </c>
      <c r="AD540" s="13">
        <v>0</v>
      </c>
      <c r="AE540" s="14" t="s">
        <v>53</v>
      </c>
      <c r="AG540" s="1">
        <v>6152000100</v>
      </c>
      <c r="AH540" s="1" t="s">
        <v>168</v>
      </c>
      <c r="AI540" s="17" t="s">
        <v>40</v>
      </c>
      <c r="AL540" s="1" t="str">
        <f t="shared" si="9"/>
        <v>"Nascholing","","","78000000","","unspsc","M","","","","","K","","A010","","7811G","6152000100","True",""</v>
      </c>
    </row>
    <row r="541" spans="1:45" x14ac:dyDescent="0.25">
      <c r="A541" s="1">
        <v>200</v>
      </c>
      <c r="C541" s="1" t="s">
        <v>62</v>
      </c>
      <c r="E541" s="1" t="s">
        <v>480</v>
      </c>
      <c r="F541" s="1">
        <v>7</v>
      </c>
      <c r="G541" s="1" t="s">
        <v>68</v>
      </c>
      <c r="H541" s="8">
        <v>18</v>
      </c>
      <c r="J541" s="1" t="s">
        <v>167</v>
      </c>
      <c r="K541" s="1" t="s">
        <v>518</v>
      </c>
      <c r="O541" s="11">
        <v>78000000</v>
      </c>
      <c r="Q541" s="1" t="s">
        <v>35</v>
      </c>
      <c r="R541" s="1" t="s">
        <v>36</v>
      </c>
      <c r="W541" s="1" t="s">
        <v>42</v>
      </c>
      <c r="Y541" s="1" t="s">
        <v>37</v>
      </c>
      <c r="AA541" s="84" t="s">
        <v>523</v>
      </c>
      <c r="AB541" s="1" t="s">
        <v>524</v>
      </c>
      <c r="AC541" s="12" t="s">
        <v>52</v>
      </c>
      <c r="AD541" s="13">
        <v>0</v>
      </c>
      <c r="AE541" s="14" t="s">
        <v>53</v>
      </c>
      <c r="AG541" s="1">
        <v>6152000100</v>
      </c>
      <c r="AH541" s="1" t="s">
        <v>168</v>
      </c>
      <c r="AI541" s="17" t="s">
        <v>40</v>
      </c>
      <c r="AL541" s="1" t="str">
        <f t="shared" si="9"/>
        <v>"Nascholing","","","78000000","","unspsc","M","","","","","K","","A010","","7811H","6152000100","True",""</v>
      </c>
    </row>
    <row r="542" spans="1:45" x14ac:dyDescent="0.25">
      <c r="A542" s="1">
        <v>200</v>
      </c>
      <c r="C542" s="1" t="s">
        <v>62</v>
      </c>
      <c r="E542" s="1" t="s">
        <v>480</v>
      </c>
      <c r="F542" s="1">
        <v>7</v>
      </c>
      <c r="G542" s="1" t="s">
        <v>68</v>
      </c>
      <c r="H542" s="8">
        <v>19</v>
      </c>
      <c r="J542" s="1" t="s">
        <v>163</v>
      </c>
      <c r="K542" s="1" t="s">
        <v>518</v>
      </c>
      <c r="O542" s="11">
        <v>78000000</v>
      </c>
      <c r="Q542" s="1" t="s">
        <v>35</v>
      </c>
      <c r="R542" s="1" t="s">
        <v>36</v>
      </c>
      <c r="W542" s="1" t="s">
        <v>42</v>
      </c>
      <c r="Y542" s="1" t="s">
        <v>37</v>
      </c>
      <c r="AA542" s="84" t="s">
        <v>525</v>
      </c>
      <c r="AB542" s="1" t="s">
        <v>526</v>
      </c>
      <c r="AC542" s="12" t="s">
        <v>138</v>
      </c>
      <c r="AD542" s="13">
        <v>0.06</v>
      </c>
      <c r="AE542" s="14" t="s">
        <v>53</v>
      </c>
      <c r="AG542" s="1">
        <v>6152000200</v>
      </c>
      <c r="AH542" s="1" t="s">
        <v>164</v>
      </c>
      <c r="AI542" s="17" t="s">
        <v>40</v>
      </c>
      <c r="AL542" s="1" t="str">
        <f t="shared" si="9"/>
        <v>"Teambuilding","","","78000000","","unspsc","M","","","","","K","","A010","","7811K","6152000200","True",""</v>
      </c>
    </row>
    <row r="543" spans="1:45" x14ac:dyDescent="0.25">
      <c r="A543" s="1">
        <v>200</v>
      </c>
      <c r="C543" s="1" t="s">
        <v>62</v>
      </c>
      <c r="E543" s="1" t="s">
        <v>480</v>
      </c>
      <c r="F543" s="1">
        <v>7</v>
      </c>
      <c r="G543" s="1" t="s">
        <v>68</v>
      </c>
      <c r="H543" s="8">
        <v>19</v>
      </c>
      <c r="J543" s="1" t="s">
        <v>163</v>
      </c>
      <c r="K543" s="1" t="s">
        <v>518</v>
      </c>
      <c r="O543" s="11">
        <v>78000000</v>
      </c>
      <c r="Q543" s="1" t="s">
        <v>35</v>
      </c>
      <c r="R543" s="1" t="s">
        <v>36</v>
      </c>
      <c r="W543" s="1" t="s">
        <v>42</v>
      </c>
      <c r="Y543" s="1" t="s">
        <v>37</v>
      </c>
      <c r="AA543" s="84" t="s">
        <v>527</v>
      </c>
      <c r="AB543" s="1" t="s">
        <v>528</v>
      </c>
      <c r="AC543" s="12" t="s">
        <v>52</v>
      </c>
      <c r="AD543" s="13">
        <v>0</v>
      </c>
      <c r="AE543" s="14" t="s">
        <v>53</v>
      </c>
      <c r="AG543" s="1">
        <v>6152000200</v>
      </c>
      <c r="AH543" s="1" t="s">
        <v>164</v>
      </c>
      <c r="AI543" s="17" t="s">
        <v>40</v>
      </c>
      <c r="AL543" s="1" t="str">
        <f t="shared" si="9"/>
        <v>"Teambuilding","","","78000000","","unspsc","M","","","","","K","","A010","","7811L","6152000200","True",""</v>
      </c>
    </row>
    <row r="544" spans="1:45" x14ac:dyDescent="0.25">
      <c r="A544" s="1">
        <v>200</v>
      </c>
      <c r="C544" s="1" t="s">
        <v>62</v>
      </c>
      <c r="E544" s="1" t="s">
        <v>480</v>
      </c>
      <c r="F544" s="1">
        <v>7</v>
      </c>
      <c r="G544" s="1" t="s">
        <v>68</v>
      </c>
      <c r="H544" s="8">
        <v>19</v>
      </c>
      <c r="J544" s="1" t="s">
        <v>163</v>
      </c>
      <c r="K544" s="1" t="s">
        <v>518</v>
      </c>
      <c r="O544" s="11">
        <v>78000000</v>
      </c>
      <c r="Q544" s="1" t="s">
        <v>35</v>
      </c>
      <c r="R544" s="1" t="s">
        <v>36</v>
      </c>
      <c r="W544" s="1" t="s">
        <v>42</v>
      </c>
      <c r="Y544" s="1" t="s">
        <v>37</v>
      </c>
      <c r="AA544" s="84" t="s">
        <v>529</v>
      </c>
      <c r="AB544" s="1" t="s">
        <v>530</v>
      </c>
      <c r="AC544" s="12" t="s">
        <v>52</v>
      </c>
      <c r="AD544" s="13">
        <v>0</v>
      </c>
      <c r="AE544" s="14" t="s">
        <v>53</v>
      </c>
      <c r="AG544" s="1">
        <v>6152000200</v>
      </c>
      <c r="AH544" s="1" t="s">
        <v>164</v>
      </c>
      <c r="AI544" s="17" t="s">
        <v>40</v>
      </c>
      <c r="AL544" s="1" t="str">
        <f t="shared" si="9"/>
        <v>"Teambuilding","","","78000000","","unspsc","M","","","","","K","","A010","","7811M","6152000200","True",""</v>
      </c>
    </row>
    <row r="545" spans="1:45" x14ac:dyDescent="0.25">
      <c r="A545" s="1">
        <v>200</v>
      </c>
      <c r="C545" s="1" t="s">
        <v>62</v>
      </c>
      <c r="E545" s="1" t="s">
        <v>531</v>
      </c>
      <c r="F545" s="1">
        <v>8</v>
      </c>
      <c r="G545" s="1" t="s">
        <v>115</v>
      </c>
      <c r="H545" s="8">
        <v>6</v>
      </c>
      <c r="J545" s="1" t="s">
        <v>108</v>
      </c>
      <c r="K545" s="1" t="s">
        <v>532</v>
      </c>
      <c r="O545" s="11">
        <v>53000000</v>
      </c>
      <c r="Q545" s="1" t="s">
        <v>35</v>
      </c>
      <c r="R545" s="1" t="s">
        <v>36</v>
      </c>
      <c r="W545" s="1" t="s">
        <v>42</v>
      </c>
      <c r="Y545" s="1" t="s">
        <v>37</v>
      </c>
      <c r="AA545" s="84">
        <v>5310</v>
      </c>
      <c r="AB545" s="1" t="s">
        <v>532</v>
      </c>
      <c r="AC545" s="12" t="s">
        <v>65</v>
      </c>
      <c r="AD545" s="13">
        <v>0.21</v>
      </c>
      <c r="AE545" s="14" t="s">
        <v>39</v>
      </c>
      <c r="AG545" s="1">
        <v>6030000200</v>
      </c>
      <c r="AH545" s="1" t="s">
        <v>109</v>
      </c>
      <c r="AI545" s="17" t="s">
        <v>40</v>
      </c>
      <c r="AL545" s="1" t="str">
        <f t="shared" si="9"/>
        <v>"Doorverkoop onderwijs (niet max fac)","","","53000000","","unspsc","M","","","","","K","","A010","","5310","6030000200","True",""</v>
      </c>
      <c r="AM545" s="2"/>
      <c r="AN545" s="2"/>
      <c r="AO545" s="2"/>
      <c r="AP545" s="2"/>
      <c r="AQ545" s="2"/>
      <c r="AR545" s="2"/>
      <c r="AS545" s="2"/>
    </row>
    <row r="546" spans="1:45" x14ac:dyDescent="0.25">
      <c r="A546" s="1">
        <v>200</v>
      </c>
      <c r="C546" s="1" t="s">
        <v>62</v>
      </c>
      <c r="E546" s="1" t="s">
        <v>531</v>
      </c>
      <c r="F546" s="1">
        <v>8</v>
      </c>
      <c r="G546" s="1" t="s">
        <v>115</v>
      </c>
      <c r="H546" s="8">
        <v>6</v>
      </c>
      <c r="J546" s="1" t="s">
        <v>108</v>
      </c>
      <c r="K546" s="1" t="s">
        <v>532</v>
      </c>
      <c r="O546" s="11">
        <v>53000000</v>
      </c>
      <c r="Q546" s="1" t="s">
        <v>35</v>
      </c>
      <c r="R546" s="1" t="s">
        <v>36</v>
      </c>
      <c r="W546" s="1" t="s">
        <v>42</v>
      </c>
      <c r="Y546" s="1" t="s">
        <v>37</v>
      </c>
      <c r="AA546" s="84" t="s">
        <v>533</v>
      </c>
      <c r="AB546" s="1" t="s">
        <v>534</v>
      </c>
      <c r="AC546" s="12" t="s">
        <v>104</v>
      </c>
      <c r="AD546" s="13">
        <v>0.21</v>
      </c>
      <c r="AE546" s="14" t="s">
        <v>39</v>
      </c>
      <c r="AG546" s="1">
        <v>6030000200</v>
      </c>
      <c r="AH546" s="1" t="s">
        <v>109</v>
      </c>
      <c r="AI546" s="17" t="s">
        <v>40</v>
      </c>
      <c r="AL546" s="1" t="str">
        <f t="shared" si="9"/>
        <v>"Doorverkoop onderwijs (niet max fac)","","","53000000","","unspsc","M","","","","","K","","A010","","5310X","6030000200","True",""</v>
      </c>
    </row>
    <row r="547" spans="1:45" x14ac:dyDescent="0.25">
      <c r="A547" s="1">
        <v>200</v>
      </c>
      <c r="C547" s="1" t="s">
        <v>31</v>
      </c>
      <c r="E547" s="1" t="s">
        <v>531</v>
      </c>
      <c r="F547" s="1">
        <v>8</v>
      </c>
      <c r="G547" s="1" t="s">
        <v>115</v>
      </c>
      <c r="H547" s="8">
        <v>17</v>
      </c>
      <c r="J547" s="1" t="s">
        <v>41</v>
      </c>
      <c r="K547" s="1" t="s">
        <v>535</v>
      </c>
      <c r="O547" s="11">
        <v>91000000</v>
      </c>
      <c r="Q547" s="1" t="s">
        <v>35</v>
      </c>
      <c r="R547" s="1" t="s">
        <v>36</v>
      </c>
      <c r="W547" s="1" t="s">
        <v>42</v>
      </c>
      <c r="Y547" s="1" t="s">
        <v>37</v>
      </c>
      <c r="AA547" s="84">
        <v>911115</v>
      </c>
      <c r="AB547" s="1" t="s">
        <v>319</v>
      </c>
      <c r="AC547" s="12" t="s">
        <v>138</v>
      </c>
      <c r="AD547" s="13">
        <v>0.06</v>
      </c>
      <c r="AE547" s="14" t="s">
        <v>53</v>
      </c>
      <c r="AG547" s="1">
        <v>6145000200</v>
      </c>
      <c r="AH547" s="1" t="s">
        <v>319</v>
      </c>
      <c r="AI547" s="17" t="s">
        <v>40</v>
      </c>
      <c r="AL547" s="1" t="str">
        <f t="shared" si="9"/>
        <v>"Operationele werking","","","91000000","","unspsc","M","","","","","K","","A010","","911115","6145000200","True",""</v>
      </c>
    </row>
    <row r="548" spans="1:45" x14ac:dyDescent="0.25">
      <c r="A548" s="1">
        <v>200</v>
      </c>
      <c r="C548" s="1" t="s">
        <v>48</v>
      </c>
      <c r="E548" s="1" t="s">
        <v>531</v>
      </c>
      <c r="F548" s="1">
        <v>8</v>
      </c>
      <c r="G548" s="1" t="s">
        <v>115</v>
      </c>
      <c r="H548" s="8">
        <v>17</v>
      </c>
      <c r="J548" s="1" t="s">
        <v>41</v>
      </c>
      <c r="K548" s="1" t="s">
        <v>535</v>
      </c>
      <c r="O548" s="11">
        <v>91000000</v>
      </c>
      <c r="Q548" s="1" t="s">
        <v>35</v>
      </c>
      <c r="R548" s="1" t="s">
        <v>36</v>
      </c>
      <c r="W548" s="1" t="s">
        <v>42</v>
      </c>
      <c r="Y548" s="1" t="s">
        <v>37</v>
      </c>
      <c r="AA548" s="84">
        <v>9111</v>
      </c>
      <c r="AB548" s="1" t="s">
        <v>536</v>
      </c>
      <c r="AC548" s="12" t="s">
        <v>52</v>
      </c>
      <c r="AD548" s="13">
        <v>0</v>
      </c>
      <c r="AE548" s="14" t="s">
        <v>53</v>
      </c>
      <c r="AG548" s="1">
        <v>6145000200</v>
      </c>
      <c r="AH548" s="1" t="s">
        <v>319</v>
      </c>
      <c r="AI548" s="17" t="s">
        <v>40</v>
      </c>
      <c r="AL548" s="1" t="str">
        <f t="shared" si="9"/>
        <v>"Operationele werking","","","91000000","","unspsc","M","","","","","K","","A010","","9111","6145000200","True",""</v>
      </c>
    </row>
    <row r="549" spans="1:45" x14ac:dyDescent="0.25">
      <c r="A549" s="1">
        <v>200</v>
      </c>
      <c r="C549" s="1" t="s">
        <v>62</v>
      </c>
      <c r="E549" s="1" t="s">
        <v>537</v>
      </c>
      <c r="F549" s="1">
        <v>9</v>
      </c>
      <c r="G549" s="1" t="s">
        <v>177</v>
      </c>
      <c r="H549" s="8">
        <v>17</v>
      </c>
      <c r="J549" s="1" t="s">
        <v>41</v>
      </c>
      <c r="O549" s="11">
        <v>42000000</v>
      </c>
      <c r="Q549" s="1" t="s">
        <v>35</v>
      </c>
      <c r="R549" s="1" t="s">
        <v>36</v>
      </c>
      <c r="W549" s="1" t="s">
        <v>42</v>
      </c>
      <c r="Y549" s="1" t="s">
        <v>37</v>
      </c>
      <c r="AA549" s="84">
        <v>4224</v>
      </c>
      <c r="AB549" s="1" t="s">
        <v>538</v>
      </c>
      <c r="AC549" s="12" t="s">
        <v>65</v>
      </c>
      <c r="AD549" s="13">
        <v>0.21</v>
      </c>
      <c r="AE549" s="14" t="s">
        <v>39</v>
      </c>
      <c r="AG549" s="1">
        <v>6152001200</v>
      </c>
      <c r="AH549" s="1" t="s">
        <v>539</v>
      </c>
      <c r="AI549" s="17" t="s">
        <v>40</v>
      </c>
      <c r="AL549" s="1" t="str">
        <f t="shared" si="9"/>
        <v>"Operationele werking","","","42000000","","unspsc","M","","","","","K","","A010","","4224","6152001200","True",""</v>
      </c>
    </row>
    <row r="550" spans="1:45" x14ac:dyDescent="0.25">
      <c r="A550" s="1">
        <v>200</v>
      </c>
      <c r="C550" s="1" t="s">
        <v>62</v>
      </c>
      <c r="E550" s="1" t="s">
        <v>537</v>
      </c>
      <c r="F550" s="1">
        <v>9</v>
      </c>
      <c r="G550" s="1" t="s">
        <v>177</v>
      </c>
      <c r="H550" s="8">
        <v>17</v>
      </c>
      <c r="J550" s="1" t="s">
        <v>41</v>
      </c>
      <c r="O550" s="11">
        <v>42000000</v>
      </c>
      <c r="Q550" s="1" t="s">
        <v>35</v>
      </c>
      <c r="R550" s="1" t="s">
        <v>36</v>
      </c>
      <c r="W550" s="1" t="s">
        <v>42</v>
      </c>
      <c r="Y550" s="1" t="s">
        <v>37</v>
      </c>
      <c r="AA550" s="84" t="s">
        <v>540</v>
      </c>
      <c r="AB550" s="1" t="s">
        <v>541</v>
      </c>
      <c r="AC550" s="12" t="s">
        <v>104</v>
      </c>
      <c r="AD550" s="13">
        <v>0.21</v>
      </c>
      <c r="AE550" s="14" t="s">
        <v>39</v>
      </c>
      <c r="AG550" s="1">
        <v>6152001200</v>
      </c>
      <c r="AH550" s="1" t="s">
        <v>539</v>
      </c>
      <c r="AI550" s="17" t="s">
        <v>40</v>
      </c>
      <c r="AL550" s="1" t="str">
        <f t="shared" si="9"/>
        <v>"Operationele werking","","","42000000","","unspsc","M","","","","","K","","A010","","4224X","6152001200","True",""</v>
      </c>
    </row>
    <row r="551" spans="1:45" x14ac:dyDescent="0.25">
      <c r="A551" s="1">
        <v>200</v>
      </c>
      <c r="C551" s="1" t="s">
        <v>62</v>
      </c>
      <c r="E551" s="1" t="s">
        <v>537</v>
      </c>
      <c r="F551" s="1">
        <v>9</v>
      </c>
      <c r="G551" s="1" t="s">
        <v>177</v>
      </c>
      <c r="H551" s="8">
        <v>17</v>
      </c>
      <c r="J551" s="1" t="s">
        <v>41</v>
      </c>
      <c r="K551" s="1" t="s">
        <v>426</v>
      </c>
      <c r="O551" s="11">
        <v>42000000</v>
      </c>
      <c r="Q551" s="1" t="s">
        <v>35</v>
      </c>
      <c r="R551" s="1" t="s">
        <v>36</v>
      </c>
      <c r="W551" s="1" t="s">
        <v>42</v>
      </c>
      <c r="Y551" s="1" t="s">
        <v>37</v>
      </c>
      <c r="AA551" s="84">
        <v>422115</v>
      </c>
      <c r="AB551" s="1" t="s">
        <v>542</v>
      </c>
      <c r="AC551" s="12" t="s">
        <v>65</v>
      </c>
      <c r="AD551" s="13">
        <v>0.21</v>
      </c>
      <c r="AE551" s="14" t="s">
        <v>39</v>
      </c>
      <c r="AG551" s="1">
        <v>6152001200</v>
      </c>
      <c r="AH551" s="1" t="s">
        <v>539</v>
      </c>
      <c r="AI551" s="17" t="s">
        <v>40</v>
      </c>
      <c r="AL551" s="1" t="str">
        <f t="shared" si="9"/>
        <v>"Operationele werking","","","42000000","","unspsc","M","","","","","K","","A010","","422115","6152001200","True",""</v>
      </c>
      <c r="AM551" s="2"/>
      <c r="AN551" s="2"/>
      <c r="AO551" s="2"/>
      <c r="AP551" s="2"/>
      <c r="AQ551" s="2"/>
      <c r="AR551" s="2"/>
      <c r="AS551" s="2"/>
    </row>
    <row r="552" spans="1:45" x14ac:dyDescent="0.25">
      <c r="A552" s="1">
        <v>200</v>
      </c>
      <c r="C552" s="1" t="s">
        <v>62</v>
      </c>
      <c r="E552" s="1" t="s">
        <v>537</v>
      </c>
      <c r="F552" s="1">
        <v>9</v>
      </c>
      <c r="G552" s="1" t="s">
        <v>177</v>
      </c>
      <c r="H552" s="8">
        <v>17</v>
      </c>
      <c r="J552" s="1" t="s">
        <v>41</v>
      </c>
      <c r="K552" s="1" t="s">
        <v>426</v>
      </c>
      <c r="O552" s="11">
        <v>42000000</v>
      </c>
      <c r="Q552" s="1" t="s">
        <v>35</v>
      </c>
      <c r="R552" s="1" t="s">
        <v>36</v>
      </c>
      <c r="W552" s="1" t="s">
        <v>42</v>
      </c>
      <c r="Y552" s="1" t="s">
        <v>37</v>
      </c>
      <c r="AA552" s="84" t="s">
        <v>543</v>
      </c>
      <c r="AB552" s="1" t="s">
        <v>544</v>
      </c>
      <c r="AC552" s="12" t="s">
        <v>104</v>
      </c>
      <c r="AD552" s="13">
        <v>0.21</v>
      </c>
      <c r="AE552" s="14" t="s">
        <v>39</v>
      </c>
      <c r="AG552" s="1">
        <v>6152001200</v>
      </c>
      <c r="AH552" s="1" t="s">
        <v>539</v>
      </c>
      <c r="AI552" s="17" t="s">
        <v>40</v>
      </c>
      <c r="AL552" s="1" t="str">
        <f t="shared" si="9"/>
        <v>"Operationele werking","","","42000000","","unspsc","M","","","","","K","","A010","","422115X","6152001200","True",""</v>
      </c>
    </row>
    <row r="553" spans="1:45" x14ac:dyDescent="0.25">
      <c r="A553" s="1">
        <v>200</v>
      </c>
      <c r="C553" s="1" t="s">
        <v>31</v>
      </c>
      <c r="E553" s="1" t="s">
        <v>537</v>
      </c>
      <c r="F553" s="1">
        <v>9</v>
      </c>
      <c r="G553" s="1" t="s">
        <v>177</v>
      </c>
      <c r="H553" s="8">
        <v>17</v>
      </c>
      <c r="J553" s="1" t="s">
        <v>41</v>
      </c>
      <c r="K553" s="1" t="s">
        <v>545</v>
      </c>
      <c r="O553" s="11">
        <v>47000000</v>
      </c>
      <c r="Q553" s="1" t="s">
        <v>35</v>
      </c>
      <c r="R553" s="1" t="s">
        <v>36</v>
      </c>
      <c r="W553" s="1" t="s">
        <v>42</v>
      </c>
      <c r="Y553" s="1" t="s">
        <v>37</v>
      </c>
      <c r="AA553" s="84">
        <v>471318</v>
      </c>
      <c r="AB553" s="1" t="s">
        <v>546</v>
      </c>
      <c r="AC553" s="12" t="s">
        <v>65</v>
      </c>
      <c r="AD553" s="13">
        <v>0.21</v>
      </c>
      <c r="AE553" s="14" t="s">
        <v>39</v>
      </c>
      <c r="AG553" s="1">
        <v>6145000100</v>
      </c>
      <c r="AH553" s="1" t="s">
        <v>144</v>
      </c>
      <c r="AI553" s="17" t="s">
        <v>40</v>
      </c>
      <c r="AL553" s="1" t="str">
        <f t="shared" si="9"/>
        <v>"Operationele werking","","","47000000","","unspsc","M","","","","","K","","A010","","471318","6145000100","True",""</v>
      </c>
      <c r="AM553" s="75"/>
      <c r="AN553" s="75"/>
      <c r="AO553" s="75"/>
      <c r="AP553" s="75"/>
      <c r="AQ553" s="75"/>
      <c r="AR553" s="75"/>
      <c r="AS553" s="75"/>
    </row>
    <row r="554" spans="1:45" x14ac:dyDescent="0.25">
      <c r="A554" s="1">
        <v>200</v>
      </c>
      <c r="C554" s="1" t="s">
        <v>31</v>
      </c>
      <c r="E554" s="1" t="s">
        <v>537</v>
      </c>
      <c r="F554" s="1">
        <v>9</v>
      </c>
      <c r="G554" s="1" t="s">
        <v>177</v>
      </c>
      <c r="H554" s="8">
        <v>17</v>
      </c>
      <c r="J554" s="1" t="s">
        <v>41</v>
      </c>
      <c r="O554" s="11">
        <v>51000000</v>
      </c>
      <c r="Q554" s="1" t="s">
        <v>35</v>
      </c>
      <c r="R554" s="1" t="s">
        <v>36</v>
      </c>
      <c r="W554" s="1" t="s">
        <v>42</v>
      </c>
      <c r="Y554" s="1" t="s">
        <v>37</v>
      </c>
      <c r="AA554" s="84">
        <v>51</v>
      </c>
      <c r="AB554" s="1" t="s">
        <v>547</v>
      </c>
      <c r="AC554" s="12" t="s">
        <v>38</v>
      </c>
      <c r="AD554" s="13">
        <v>0.06</v>
      </c>
      <c r="AE554" s="14" t="s">
        <v>39</v>
      </c>
      <c r="AG554" s="1">
        <v>6152001200</v>
      </c>
      <c r="AH554" s="1" t="s">
        <v>539</v>
      </c>
      <c r="AI554" s="17" t="s">
        <v>40</v>
      </c>
      <c r="AL554" s="1" t="str">
        <f t="shared" si="9"/>
        <v>"Operationele werking","","","51000000","","unspsc","M","","","","","K","","A010","","51","6152001200","True",""</v>
      </c>
    </row>
    <row r="555" spans="1:45" x14ac:dyDescent="0.25">
      <c r="A555" s="1">
        <v>200</v>
      </c>
      <c r="B555" s="1" t="s">
        <v>548</v>
      </c>
      <c r="C555" s="1" t="s">
        <v>31</v>
      </c>
      <c r="E555" s="1" t="s">
        <v>537</v>
      </c>
      <c r="F555" s="1">
        <v>9</v>
      </c>
      <c r="G555" s="1" t="s">
        <v>177</v>
      </c>
      <c r="H555" s="8">
        <v>17</v>
      </c>
      <c r="J555" s="1" t="s">
        <v>41</v>
      </c>
      <c r="O555" s="11">
        <v>51000000</v>
      </c>
      <c r="Q555" s="1" t="s">
        <v>35</v>
      </c>
      <c r="R555" s="1" t="s">
        <v>36</v>
      </c>
      <c r="W555" s="1" t="s">
        <v>42</v>
      </c>
      <c r="Y555" s="1" t="s">
        <v>37</v>
      </c>
      <c r="AA555" s="84">
        <v>5120</v>
      </c>
      <c r="AB555" s="1" t="s">
        <v>549</v>
      </c>
      <c r="AC555" s="12" t="s">
        <v>38</v>
      </c>
      <c r="AD555" s="13">
        <v>0.06</v>
      </c>
      <c r="AE555" s="14" t="s">
        <v>39</v>
      </c>
      <c r="AG555" s="1">
        <v>6152001200</v>
      </c>
      <c r="AH555" s="1" t="s">
        <v>539</v>
      </c>
      <c r="AI555" s="17" t="s">
        <v>40</v>
      </c>
      <c r="AL555" s="1" t="str">
        <f t="shared" si="9"/>
        <v>"Operationele werking","","","51000000","","unspsc","M","","","","","K","","A010","","5120","6152001200","True",""</v>
      </c>
    </row>
    <row r="556" spans="1:45" x14ac:dyDescent="0.25">
      <c r="A556" s="1">
        <v>200</v>
      </c>
      <c r="C556" s="1" t="s">
        <v>62</v>
      </c>
      <c r="E556" s="1" t="s">
        <v>550</v>
      </c>
      <c r="F556" s="1">
        <v>10</v>
      </c>
      <c r="G556" s="1" t="s">
        <v>256</v>
      </c>
      <c r="H556" s="8">
        <v>10</v>
      </c>
      <c r="J556" s="1" t="s">
        <v>46</v>
      </c>
      <c r="K556" s="1" t="s">
        <v>257</v>
      </c>
      <c r="O556" s="11">
        <v>80000000</v>
      </c>
      <c r="Q556" s="1" t="s">
        <v>35</v>
      </c>
      <c r="R556" s="1" t="s">
        <v>36</v>
      </c>
      <c r="W556" s="1" t="s">
        <v>42</v>
      </c>
      <c r="Y556" s="1" t="s">
        <v>37</v>
      </c>
      <c r="AA556" s="84" t="s">
        <v>551</v>
      </c>
      <c r="AB556" s="1" t="s">
        <v>552</v>
      </c>
      <c r="AC556" s="12" t="s">
        <v>91</v>
      </c>
      <c r="AD556" s="13">
        <v>0.21</v>
      </c>
      <c r="AE556" s="14" t="s">
        <v>53</v>
      </c>
      <c r="AG556" s="1">
        <v>6146000400</v>
      </c>
      <c r="AH556" s="1" t="s">
        <v>47</v>
      </c>
      <c r="AI556" s="17" t="s">
        <v>40</v>
      </c>
      <c r="AL556" s="1" t="str">
        <f t="shared" si="9"/>
        <v>"Representatie externen","","","80000000","","unspsc","M","","","","","K","","A010","","801416B","6146000400","True",""</v>
      </c>
    </row>
    <row r="557" spans="1:45" x14ac:dyDescent="0.25">
      <c r="A557" s="1">
        <v>200</v>
      </c>
      <c r="C557" s="1" t="s">
        <v>62</v>
      </c>
      <c r="E557" s="1" t="s">
        <v>550</v>
      </c>
      <c r="F557" s="1">
        <v>10</v>
      </c>
      <c r="G557" s="1" t="s">
        <v>256</v>
      </c>
      <c r="H557" s="8">
        <v>17</v>
      </c>
      <c r="J557" s="1" t="s">
        <v>41</v>
      </c>
      <c r="K557" s="1" t="s">
        <v>257</v>
      </c>
      <c r="O557" s="11">
        <v>80000000</v>
      </c>
      <c r="Q557" s="1" t="s">
        <v>35</v>
      </c>
      <c r="R557" s="1" t="s">
        <v>36</v>
      </c>
      <c r="W557" s="1" t="s">
        <v>42</v>
      </c>
      <c r="Y557" s="1" t="s">
        <v>37</v>
      </c>
      <c r="AA557" s="84" t="s">
        <v>553</v>
      </c>
      <c r="AB557" s="1" t="s">
        <v>554</v>
      </c>
      <c r="AC557" s="12" t="s">
        <v>91</v>
      </c>
      <c r="AD557" s="13">
        <v>0.21</v>
      </c>
      <c r="AE557" s="14" t="s">
        <v>53</v>
      </c>
      <c r="AG557" s="1">
        <v>6152000300</v>
      </c>
      <c r="AH557" s="1" t="s">
        <v>43</v>
      </c>
      <c r="AI557" s="17" t="s">
        <v>40</v>
      </c>
      <c r="AL557" s="1" t="str">
        <f t="shared" si="9"/>
        <v>"Operationele werking","","","80000000","","unspsc","M","","","","","K","","A010","","801416A","6152000300","True",""</v>
      </c>
    </row>
    <row r="558" spans="1:45" x14ac:dyDescent="0.25">
      <c r="A558" s="1">
        <v>200</v>
      </c>
      <c r="C558" s="1" t="s">
        <v>62</v>
      </c>
      <c r="F558" s="1">
        <v>10</v>
      </c>
      <c r="G558" s="1" t="s">
        <v>256</v>
      </c>
      <c r="H558" s="8">
        <v>17</v>
      </c>
      <c r="J558" s="1" t="s">
        <v>41</v>
      </c>
      <c r="K558" s="1" t="s">
        <v>265</v>
      </c>
      <c r="O558" s="11">
        <v>80000000</v>
      </c>
      <c r="Q558" s="1" t="s">
        <v>35</v>
      </c>
      <c r="R558" s="1" t="s">
        <v>36</v>
      </c>
      <c r="W558" s="1" t="s">
        <v>42</v>
      </c>
      <c r="Y558" s="1" t="s">
        <v>37</v>
      </c>
      <c r="AA558" s="84" t="s">
        <v>275</v>
      </c>
      <c r="AB558" s="1" t="s">
        <v>276</v>
      </c>
      <c r="AC558" s="12" t="s">
        <v>186</v>
      </c>
      <c r="AD558" s="13">
        <v>0.06</v>
      </c>
      <c r="AE558" s="14" t="s">
        <v>53</v>
      </c>
      <c r="AF558" s="15"/>
      <c r="AG558" s="1">
        <v>6146000300</v>
      </c>
      <c r="AH558" s="1" t="s">
        <v>267</v>
      </c>
      <c r="AI558" s="17" t="s">
        <v>40</v>
      </c>
      <c r="AL558" s="1" t="str">
        <f t="shared" si="9"/>
        <v>"Operationele werking","","","80000000","","unspsc","M","","","","","K","","A010","","8017160X","6146000300","True",""</v>
      </c>
    </row>
    <row r="559" spans="1:45" x14ac:dyDescent="0.25">
      <c r="A559" s="1">
        <v>200</v>
      </c>
      <c r="C559" s="1" t="s">
        <v>62</v>
      </c>
      <c r="E559" s="1" t="s">
        <v>550</v>
      </c>
      <c r="F559" s="1">
        <v>10</v>
      </c>
      <c r="G559" s="1" t="s">
        <v>256</v>
      </c>
      <c r="H559" s="8">
        <v>20</v>
      </c>
      <c r="J559" s="1" t="s">
        <v>555</v>
      </c>
      <c r="K559" s="1" t="s">
        <v>556</v>
      </c>
      <c r="O559" s="11">
        <v>80000000</v>
      </c>
      <c r="Q559" s="1" t="s">
        <v>35</v>
      </c>
      <c r="R559" s="1" t="s">
        <v>36</v>
      </c>
      <c r="W559" s="1" t="s">
        <v>42</v>
      </c>
      <c r="Y559" s="1" t="s">
        <v>37</v>
      </c>
      <c r="AA559" s="84">
        <v>801416</v>
      </c>
      <c r="AB559" s="1" t="s">
        <v>557</v>
      </c>
      <c r="AC559" s="12" t="s">
        <v>52</v>
      </c>
      <c r="AD559" s="13">
        <v>0</v>
      </c>
      <c r="AE559" s="14" t="s">
        <v>53</v>
      </c>
      <c r="AG559" s="1">
        <v>6430000700</v>
      </c>
      <c r="AH559" s="1" t="s">
        <v>558</v>
      </c>
      <c r="AI559" s="17" t="s">
        <v>40</v>
      </c>
      <c r="AL559" s="1" t="str">
        <f t="shared" si="9"/>
        <v>"Giften","","","80000000","","unspsc","M","","","","","K","","A010","","801416","6430000700","True",""</v>
      </c>
    </row>
    <row r="560" spans="1:45" x14ac:dyDescent="0.25">
      <c r="A560" s="1">
        <v>200</v>
      </c>
      <c r="C560" s="1" t="s">
        <v>62</v>
      </c>
      <c r="E560" s="1" t="s">
        <v>237</v>
      </c>
      <c r="F560" s="1">
        <v>11</v>
      </c>
      <c r="G560" s="1" t="s">
        <v>238</v>
      </c>
      <c r="H560" s="8">
        <v>10</v>
      </c>
      <c r="J560" s="1" t="s">
        <v>46</v>
      </c>
      <c r="K560" s="1" t="s">
        <v>559</v>
      </c>
      <c r="O560" s="11">
        <v>78000000</v>
      </c>
      <c r="Q560" s="1" t="s">
        <v>35</v>
      </c>
      <c r="R560" s="1" t="s">
        <v>36</v>
      </c>
      <c r="W560" s="1" t="s">
        <v>42</v>
      </c>
      <c r="Y560" s="1" t="s">
        <v>37</v>
      </c>
      <c r="AA560" s="84" t="s">
        <v>512</v>
      </c>
      <c r="AB560" s="1" t="s">
        <v>560</v>
      </c>
      <c r="AC560" s="12" t="s">
        <v>52</v>
      </c>
      <c r="AD560" s="13">
        <v>0</v>
      </c>
      <c r="AE560" s="14" t="s">
        <v>53</v>
      </c>
      <c r="AG560" s="1">
        <v>6146000400</v>
      </c>
      <c r="AH560" s="1" t="s">
        <v>47</v>
      </c>
      <c r="AI560" s="17" t="s">
        <v>40</v>
      </c>
      <c r="AL560" s="1" t="str">
        <f t="shared" si="9"/>
        <v>"Representatie externen","","","78000000","","unspsc","M","","","","","K","","A010","","7811I","6146000400","True",""</v>
      </c>
    </row>
    <row r="561" spans="1:45" x14ac:dyDescent="0.25">
      <c r="A561" s="1">
        <v>200</v>
      </c>
      <c r="C561" s="1" t="s">
        <v>62</v>
      </c>
      <c r="E561" s="1" t="s">
        <v>237</v>
      </c>
      <c r="F561" s="1">
        <v>11</v>
      </c>
      <c r="G561" s="1" t="s">
        <v>238</v>
      </c>
      <c r="H561" s="8">
        <v>17</v>
      </c>
      <c r="J561" s="1" t="s">
        <v>41</v>
      </c>
      <c r="K561" s="1" t="s">
        <v>559</v>
      </c>
      <c r="O561" s="11">
        <v>86000000</v>
      </c>
      <c r="Q561" s="1" t="s">
        <v>35</v>
      </c>
      <c r="R561" s="1" t="s">
        <v>36</v>
      </c>
      <c r="W561" s="1" t="s">
        <v>42</v>
      </c>
      <c r="Y561" s="1" t="s">
        <v>37</v>
      </c>
      <c r="AA561" s="84">
        <v>8613</v>
      </c>
      <c r="AB561" s="1" t="s">
        <v>561</v>
      </c>
      <c r="AC561" s="12" t="s">
        <v>91</v>
      </c>
      <c r="AD561" s="13">
        <v>0.21</v>
      </c>
      <c r="AE561" s="14" t="s">
        <v>53</v>
      </c>
      <c r="AG561" s="1">
        <v>6130000600</v>
      </c>
      <c r="AH561" s="1" t="s">
        <v>287</v>
      </c>
      <c r="AI561" s="17" t="s">
        <v>40</v>
      </c>
      <c r="AL561" s="1" t="str">
        <f t="shared" si="9"/>
        <v>"Operationele werking","","","86000000","","unspsc","M","","","","","K","","A010","","8613","6130000600","True",""</v>
      </c>
    </row>
    <row r="562" spans="1:45" x14ac:dyDescent="0.25">
      <c r="A562" s="1">
        <v>200</v>
      </c>
      <c r="C562" s="1" t="s">
        <v>62</v>
      </c>
      <c r="E562" s="1" t="s">
        <v>237</v>
      </c>
      <c r="F562" s="1">
        <v>11</v>
      </c>
      <c r="G562" s="1" t="s">
        <v>238</v>
      </c>
      <c r="H562" s="8">
        <v>17</v>
      </c>
      <c r="J562" s="1" t="s">
        <v>41</v>
      </c>
      <c r="K562" s="1" t="s">
        <v>559</v>
      </c>
      <c r="O562" s="11">
        <v>86000000</v>
      </c>
      <c r="Q562" s="1" t="s">
        <v>35</v>
      </c>
      <c r="R562" s="1" t="s">
        <v>36</v>
      </c>
      <c r="W562" s="1" t="s">
        <v>42</v>
      </c>
      <c r="Y562" s="1" t="s">
        <v>37</v>
      </c>
      <c r="AA562" s="84" t="s">
        <v>562</v>
      </c>
      <c r="AB562" s="1" t="s">
        <v>563</v>
      </c>
      <c r="AC562" s="12" t="s">
        <v>104</v>
      </c>
      <c r="AD562" s="13">
        <v>0.21</v>
      </c>
      <c r="AE562" s="14" t="s">
        <v>53</v>
      </c>
      <c r="AG562" s="1">
        <v>6130000600</v>
      </c>
      <c r="AH562" s="1" t="s">
        <v>287</v>
      </c>
      <c r="AI562" s="17" t="s">
        <v>40</v>
      </c>
      <c r="AL562" s="1" t="str">
        <f t="shared" si="9"/>
        <v>"Operationele werking","","","86000000","","unspsc","M","","","","","K","","A010","","8613X","6130000600","True",""</v>
      </c>
    </row>
    <row r="563" spans="1:45" x14ac:dyDescent="0.25">
      <c r="A563" s="1">
        <v>200</v>
      </c>
      <c r="C563" s="1" t="s">
        <v>62</v>
      </c>
      <c r="E563" s="1" t="s">
        <v>237</v>
      </c>
      <c r="F563" s="1">
        <v>11</v>
      </c>
      <c r="G563" s="1" t="s">
        <v>238</v>
      </c>
      <c r="H563" s="8">
        <v>8</v>
      </c>
      <c r="J563" s="1" t="s">
        <v>263</v>
      </c>
      <c r="K563" s="1" t="s">
        <v>559</v>
      </c>
      <c r="O563" s="11">
        <v>86000000</v>
      </c>
      <c r="Q563" s="1" t="s">
        <v>35</v>
      </c>
      <c r="R563" s="1" t="s">
        <v>36</v>
      </c>
      <c r="W563" s="1" t="s">
        <v>42</v>
      </c>
      <c r="Y563" s="1" t="s">
        <v>37</v>
      </c>
      <c r="AA563" s="84">
        <v>8614</v>
      </c>
      <c r="AB563" s="1" t="s">
        <v>564</v>
      </c>
      <c r="AC563" s="12" t="s">
        <v>91</v>
      </c>
      <c r="AD563" s="13">
        <v>0.21</v>
      </c>
      <c r="AE563" s="14" t="s">
        <v>53</v>
      </c>
      <c r="AG563" s="1">
        <v>6161000300</v>
      </c>
      <c r="AH563" s="1" t="s">
        <v>264</v>
      </c>
      <c r="AI563" s="17" t="s">
        <v>40</v>
      </c>
      <c r="AL563" s="1" t="str">
        <f t="shared" si="9"/>
        <v>"Projectwerking","","","86000000","","unspsc","M","","","","","K","","A010","","8614","6161000300","True",""</v>
      </c>
    </row>
    <row r="564" spans="1:45" x14ac:dyDescent="0.25">
      <c r="A564" s="1">
        <v>200</v>
      </c>
      <c r="C564" s="1" t="s">
        <v>62</v>
      </c>
      <c r="E564" s="1" t="s">
        <v>237</v>
      </c>
      <c r="F564" s="1">
        <v>11</v>
      </c>
      <c r="G564" s="1" t="s">
        <v>238</v>
      </c>
      <c r="H564" s="8">
        <v>8</v>
      </c>
      <c r="J564" s="1" t="s">
        <v>263</v>
      </c>
      <c r="K564" s="1" t="s">
        <v>559</v>
      </c>
      <c r="O564" s="11">
        <v>86000000</v>
      </c>
      <c r="Q564" s="1" t="s">
        <v>35</v>
      </c>
      <c r="R564" s="1" t="s">
        <v>36</v>
      </c>
      <c r="W564" s="1" t="s">
        <v>42</v>
      </c>
      <c r="Y564" s="1" t="s">
        <v>37</v>
      </c>
      <c r="AA564" s="84" t="s">
        <v>565</v>
      </c>
      <c r="AB564" s="1" t="s">
        <v>566</v>
      </c>
      <c r="AC564" s="12" t="s">
        <v>104</v>
      </c>
      <c r="AD564" s="13">
        <v>0.21</v>
      </c>
      <c r="AE564" s="14" t="s">
        <v>53</v>
      </c>
      <c r="AG564" s="1">
        <v>6161000300</v>
      </c>
      <c r="AH564" s="1" t="s">
        <v>264</v>
      </c>
      <c r="AI564" s="17" t="s">
        <v>40</v>
      </c>
      <c r="AL564" s="1" t="str">
        <f t="shared" si="9"/>
        <v>"Projectwerking","","","86000000","","unspsc","M","","","","","K","","A010","","8614X","6161000300","True",""</v>
      </c>
    </row>
    <row r="565" spans="1:45" x14ac:dyDescent="0.25">
      <c r="A565" s="1">
        <v>200</v>
      </c>
      <c r="C565" s="1" t="s">
        <v>62</v>
      </c>
      <c r="E565" s="1" t="s">
        <v>237</v>
      </c>
      <c r="F565" s="1">
        <v>11</v>
      </c>
      <c r="G565" s="1" t="s">
        <v>238</v>
      </c>
      <c r="H565" s="8">
        <v>18</v>
      </c>
      <c r="J565" s="1" t="s">
        <v>167</v>
      </c>
      <c r="K565" s="1" t="s">
        <v>518</v>
      </c>
      <c r="O565" s="11">
        <v>86000000</v>
      </c>
      <c r="Q565" s="1" t="s">
        <v>35</v>
      </c>
      <c r="R565" s="1" t="s">
        <v>36</v>
      </c>
      <c r="W565" s="1" t="s">
        <v>42</v>
      </c>
      <c r="Y565" s="1" t="s">
        <v>37</v>
      </c>
      <c r="AA565" s="84">
        <v>86101601</v>
      </c>
      <c r="AB565" s="1" t="s">
        <v>567</v>
      </c>
      <c r="AC565" s="12" t="s">
        <v>52</v>
      </c>
      <c r="AD565" s="13">
        <v>0</v>
      </c>
      <c r="AE565" s="14" t="s">
        <v>53</v>
      </c>
      <c r="AG565" s="1">
        <v>6152100100</v>
      </c>
      <c r="AH565" s="1" t="s">
        <v>568</v>
      </c>
      <c r="AI565" s="17" t="s">
        <v>40</v>
      </c>
      <c r="AL565" s="1" t="str">
        <f t="shared" si="9"/>
        <v>"Nascholing","","","86000000","","unspsc","M","","","","","K","","A010","","86101601","6152100100","True",""</v>
      </c>
    </row>
    <row r="566" spans="1:45" x14ac:dyDescent="0.25">
      <c r="A566" s="1">
        <v>200</v>
      </c>
      <c r="C566" s="1" t="s">
        <v>62</v>
      </c>
      <c r="E566" s="1" t="s">
        <v>237</v>
      </c>
      <c r="F566" s="1">
        <v>11</v>
      </c>
      <c r="G566" s="1" t="s">
        <v>238</v>
      </c>
      <c r="H566" s="8">
        <v>18</v>
      </c>
      <c r="J566" s="1" t="s">
        <v>167</v>
      </c>
      <c r="K566" s="1" t="s">
        <v>518</v>
      </c>
      <c r="O566" s="11">
        <v>86000000</v>
      </c>
      <c r="Q566" s="1" t="s">
        <v>35</v>
      </c>
      <c r="R566" s="1" t="s">
        <v>36</v>
      </c>
      <c r="W566" s="1" t="s">
        <v>42</v>
      </c>
      <c r="Y566" s="1" t="s">
        <v>37</v>
      </c>
      <c r="AA566" s="84">
        <v>86101808</v>
      </c>
      <c r="AB566" s="1" t="s">
        <v>569</v>
      </c>
      <c r="AC566" s="12" t="s">
        <v>52</v>
      </c>
      <c r="AD566" s="13">
        <v>0</v>
      </c>
      <c r="AE566" s="14" t="s">
        <v>53</v>
      </c>
      <c r="AG566" s="1">
        <v>6152000100</v>
      </c>
      <c r="AH566" s="1" t="s">
        <v>168</v>
      </c>
      <c r="AI566" s="17" t="s">
        <v>40</v>
      </c>
      <c r="AL566" s="1" t="str">
        <f t="shared" si="9"/>
        <v>"Nascholing","","","86000000","","unspsc","M","","","","","K","","A010","","86101808","6152000100","True",""</v>
      </c>
    </row>
    <row r="567" spans="1:45" x14ac:dyDescent="0.25">
      <c r="A567" s="1">
        <v>200</v>
      </c>
      <c r="C567" s="1" t="s">
        <v>62</v>
      </c>
      <c r="E567" s="1" t="s">
        <v>237</v>
      </c>
      <c r="F567" s="1">
        <v>11</v>
      </c>
      <c r="G567" s="1" t="s">
        <v>238</v>
      </c>
      <c r="H567" s="8">
        <v>18</v>
      </c>
      <c r="J567" s="1" t="s">
        <v>167</v>
      </c>
      <c r="K567" s="1" t="s">
        <v>518</v>
      </c>
      <c r="O567" s="11">
        <v>86000000</v>
      </c>
      <c r="Q567" s="1" t="s">
        <v>35</v>
      </c>
      <c r="R567" s="1" t="s">
        <v>36</v>
      </c>
      <c r="W567" s="1" t="s">
        <v>42</v>
      </c>
      <c r="Y567" s="1" t="s">
        <v>37</v>
      </c>
      <c r="AA567" s="84" t="s">
        <v>570</v>
      </c>
      <c r="AB567" s="1" t="s">
        <v>571</v>
      </c>
      <c r="AC567" s="12" t="s">
        <v>52</v>
      </c>
      <c r="AD567" s="13">
        <v>0</v>
      </c>
      <c r="AE567" s="14" t="s">
        <v>53</v>
      </c>
      <c r="AG567" s="1">
        <v>6152000100</v>
      </c>
      <c r="AH567" s="1" t="s">
        <v>168</v>
      </c>
      <c r="AI567" s="17" t="s">
        <v>40</v>
      </c>
      <c r="AL567" s="1" t="str">
        <f t="shared" si="9"/>
        <v>"Nascholing","","","86000000","","unspsc","M","","","","","K","","A010","","861018X","6152000100","True",""</v>
      </c>
    </row>
    <row r="568" spans="1:45" x14ac:dyDescent="0.25">
      <c r="A568" s="1">
        <v>200</v>
      </c>
      <c r="C568" s="1" t="s">
        <v>62</v>
      </c>
      <c r="E568" s="1" t="s">
        <v>237</v>
      </c>
      <c r="F568" s="1">
        <v>11</v>
      </c>
      <c r="G568" s="1" t="s">
        <v>238</v>
      </c>
      <c r="H568" s="8">
        <v>18</v>
      </c>
      <c r="J568" s="1" t="s">
        <v>167</v>
      </c>
      <c r="K568" s="1" t="s">
        <v>518</v>
      </c>
      <c r="O568" s="11">
        <v>86000000</v>
      </c>
      <c r="Q568" s="1" t="s">
        <v>35</v>
      </c>
      <c r="R568" s="1" t="s">
        <v>36</v>
      </c>
      <c r="W568" s="1" t="s">
        <v>42</v>
      </c>
      <c r="Y568" s="1" t="s">
        <v>37</v>
      </c>
      <c r="AA568" s="84" t="s">
        <v>572</v>
      </c>
      <c r="AB568" s="1" t="s">
        <v>573</v>
      </c>
      <c r="AC568" s="12" t="s">
        <v>104</v>
      </c>
      <c r="AD568" s="13">
        <v>0.21</v>
      </c>
      <c r="AE568" s="14" t="s">
        <v>53</v>
      </c>
      <c r="AG568" s="1">
        <v>6152000100</v>
      </c>
      <c r="AH568" s="1" t="s">
        <v>168</v>
      </c>
      <c r="AI568" s="17" t="s">
        <v>40</v>
      </c>
      <c r="AL568" s="1" t="str">
        <f t="shared" si="9"/>
        <v>"Nascholing","","","86000000","","unspsc","M","","","","","K","","A010","","861018Z","6152000100","True",""</v>
      </c>
    </row>
    <row r="569" spans="1:45" x14ac:dyDescent="0.25">
      <c r="A569" s="1">
        <v>200</v>
      </c>
      <c r="C569" s="1" t="s">
        <v>62</v>
      </c>
      <c r="E569" s="1" t="s">
        <v>237</v>
      </c>
      <c r="F569" s="1">
        <v>11</v>
      </c>
      <c r="G569" s="1" t="s">
        <v>238</v>
      </c>
      <c r="H569" s="8">
        <v>18</v>
      </c>
      <c r="J569" s="1" t="s">
        <v>167</v>
      </c>
      <c r="K569" s="1" t="s">
        <v>518</v>
      </c>
      <c r="O569" s="11">
        <v>86000000</v>
      </c>
      <c r="Q569" s="1" t="s">
        <v>35</v>
      </c>
      <c r="R569" s="1" t="s">
        <v>36</v>
      </c>
      <c r="W569" s="1" t="s">
        <v>42</v>
      </c>
      <c r="Y569" s="1" t="s">
        <v>37</v>
      </c>
      <c r="AA569" s="84">
        <v>861018</v>
      </c>
      <c r="AB569" s="1" t="s">
        <v>574</v>
      </c>
      <c r="AC569" s="12" t="s">
        <v>91</v>
      </c>
      <c r="AD569" s="13">
        <v>0.21</v>
      </c>
      <c r="AE569" s="14" t="s">
        <v>53</v>
      </c>
      <c r="AG569" s="1">
        <v>6152000100</v>
      </c>
      <c r="AH569" s="1" t="s">
        <v>168</v>
      </c>
      <c r="AI569" s="17" t="s">
        <v>40</v>
      </c>
      <c r="AL569" s="1" t="str">
        <f t="shared" si="9"/>
        <v>"Nascholing","","","86000000","","unspsc","M","","","","","K","","A010","","861018","6152000100","True",""</v>
      </c>
    </row>
    <row r="570" spans="1:45" x14ac:dyDescent="0.25">
      <c r="A570" s="1">
        <v>200</v>
      </c>
      <c r="C570" s="1" t="s">
        <v>62</v>
      </c>
      <c r="E570" s="1" t="s">
        <v>237</v>
      </c>
      <c r="F570" s="1">
        <v>11</v>
      </c>
      <c r="G570" s="1" t="s">
        <v>238</v>
      </c>
      <c r="H570" s="8">
        <v>19</v>
      </c>
      <c r="J570" s="1" t="s">
        <v>163</v>
      </c>
      <c r="K570" s="1" t="s">
        <v>518</v>
      </c>
      <c r="O570" s="11">
        <v>86000000</v>
      </c>
      <c r="Q570" s="1" t="s">
        <v>35</v>
      </c>
      <c r="R570" s="1" t="s">
        <v>36</v>
      </c>
      <c r="W570" s="1" t="s">
        <v>42</v>
      </c>
      <c r="Y570" s="1" t="s">
        <v>37</v>
      </c>
      <c r="AA570" s="84">
        <v>861321</v>
      </c>
      <c r="AB570" s="1" t="s">
        <v>163</v>
      </c>
      <c r="AC570" s="12" t="s">
        <v>91</v>
      </c>
      <c r="AD570" s="13">
        <v>0.21</v>
      </c>
      <c r="AE570" s="14" t="s">
        <v>53</v>
      </c>
      <c r="AG570" s="1">
        <v>6152000200</v>
      </c>
      <c r="AH570" s="1" t="s">
        <v>164</v>
      </c>
      <c r="AI570" s="17" t="s">
        <v>40</v>
      </c>
      <c r="AL570" s="1" t="str">
        <f t="shared" si="9"/>
        <v>"Teambuilding","","","86000000","","unspsc","M","","","","","K","","A010","","861321","6152000200","True",""</v>
      </c>
    </row>
    <row r="571" spans="1:45" x14ac:dyDescent="0.25">
      <c r="A571" s="1">
        <v>200</v>
      </c>
      <c r="C571" s="1" t="s">
        <v>62</v>
      </c>
      <c r="E571" s="1" t="s">
        <v>237</v>
      </c>
      <c r="F571" s="1">
        <v>11</v>
      </c>
      <c r="G571" s="1" t="s">
        <v>238</v>
      </c>
      <c r="H571" s="8">
        <v>19</v>
      </c>
      <c r="J571" s="1" t="s">
        <v>163</v>
      </c>
      <c r="K571" s="1" t="s">
        <v>518</v>
      </c>
      <c r="O571" s="11">
        <v>86000000</v>
      </c>
      <c r="Q571" s="1" t="s">
        <v>35</v>
      </c>
      <c r="R571" s="1" t="s">
        <v>36</v>
      </c>
      <c r="W571" s="1" t="s">
        <v>42</v>
      </c>
      <c r="Y571" s="1" t="s">
        <v>37</v>
      </c>
      <c r="AA571" s="84" t="s">
        <v>575</v>
      </c>
      <c r="AB571" s="1" t="s">
        <v>576</v>
      </c>
      <c r="AC571" s="12" t="s">
        <v>104</v>
      </c>
      <c r="AD571" s="13">
        <v>0.21</v>
      </c>
      <c r="AE571" s="14" t="s">
        <v>53</v>
      </c>
      <c r="AG571" s="1">
        <v>6152000200</v>
      </c>
      <c r="AH571" s="1" t="s">
        <v>164</v>
      </c>
      <c r="AI571" s="17" t="s">
        <v>40</v>
      </c>
      <c r="AL571" s="1" t="str">
        <f t="shared" si="9"/>
        <v>"Teambuilding","","","86000000","","unspsc","M","","","","","K","","A010","","861321X","6152000200","True",""</v>
      </c>
    </row>
    <row r="572" spans="1:45" x14ac:dyDescent="0.25">
      <c r="A572" s="1">
        <v>200</v>
      </c>
      <c r="C572" s="1" t="s">
        <v>62</v>
      </c>
      <c r="E572" s="1" t="s">
        <v>237</v>
      </c>
      <c r="F572" s="1">
        <v>11</v>
      </c>
      <c r="G572" s="1" t="s">
        <v>238</v>
      </c>
      <c r="H572" s="8">
        <v>17</v>
      </c>
      <c r="J572" s="1" t="s">
        <v>41</v>
      </c>
      <c r="K572" s="1" t="s">
        <v>559</v>
      </c>
      <c r="O572" s="11">
        <v>86000000</v>
      </c>
      <c r="Q572" s="1" t="s">
        <v>35</v>
      </c>
      <c r="R572" s="1" t="s">
        <v>36</v>
      </c>
      <c r="W572" s="1" t="s">
        <v>42</v>
      </c>
      <c r="Y572" s="1" t="s">
        <v>37</v>
      </c>
      <c r="AA572" s="84">
        <v>86132102</v>
      </c>
      <c r="AB572" s="1" t="s">
        <v>577</v>
      </c>
      <c r="AC572" s="12" t="s">
        <v>52</v>
      </c>
      <c r="AD572" s="13">
        <v>0</v>
      </c>
      <c r="AE572" s="14" t="s">
        <v>53</v>
      </c>
      <c r="AG572" s="1">
        <v>6130000400</v>
      </c>
      <c r="AH572" s="1" t="s">
        <v>578</v>
      </c>
      <c r="AI572" s="17" t="s">
        <v>40</v>
      </c>
      <c r="AL572" s="1" t="str">
        <f t="shared" si="9"/>
        <v>"Operationele werking","","","86000000","","unspsc","M","","","","","K","","A010","","86132102","6130000400","True",""</v>
      </c>
    </row>
    <row r="573" spans="1:45" x14ac:dyDescent="0.25">
      <c r="A573" s="1">
        <v>200</v>
      </c>
      <c r="C573" s="1" t="s">
        <v>62</v>
      </c>
      <c r="E573" s="1" t="s">
        <v>579</v>
      </c>
      <c r="F573" s="1">
        <v>12</v>
      </c>
      <c r="G573" s="1" t="s">
        <v>277</v>
      </c>
      <c r="H573" s="8">
        <v>17</v>
      </c>
      <c r="J573" s="1" t="s">
        <v>41</v>
      </c>
      <c r="K573" s="1" t="s">
        <v>278</v>
      </c>
      <c r="O573" s="11">
        <v>14000000</v>
      </c>
      <c r="Q573" s="1" t="s">
        <v>35</v>
      </c>
      <c r="R573" s="1" t="s">
        <v>36</v>
      </c>
      <c r="W573" s="1" t="s">
        <v>42</v>
      </c>
      <c r="Y573" s="1" t="s">
        <v>37</v>
      </c>
      <c r="AA573" s="84">
        <v>14</v>
      </c>
      <c r="AB573" s="1" t="s">
        <v>580</v>
      </c>
      <c r="AC573" s="12" t="s">
        <v>52</v>
      </c>
      <c r="AD573" s="13">
        <v>0</v>
      </c>
      <c r="AE573" s="14" t="s">
        <v>53</v>
      </c>
      <c r="AG573" s="1">
        <v>4160100100</v>
      </c>
      <c r="AH573" s="1" t="s">
        <v>581</v>
      </c>
      <c r="AI573" s="17" t="s">
        <v>40</v>
      </c>
      <c r="AL573" s="1" t="str">
        <f t="shared" si="9"/>
        <v>"Operationele werking","","","14000000","","unspsc","M","","","","","K","","A010","","14","4160100100","True",""</v>
      </c>
    </row>
    <row r="574" spans="1:45" x14ac:dyDescent="0.25">
      <c r="A574" s="1">
        <v>200</v>
      </c>
      <c r="B574" s="1" t="s">
        <v>582</v>
      </c>
      <c r="C574" s="1" t="s">
        <v>62</v>
      </c>
      <c r="E574" s="1" t="s">
        <v>579</v>
      </c>
      <c r="F574" s="1">
        <v>12</v>
      </c>
      <c r="G574" s="1" t="s">
        <v>277</v>
      </c>
      <c r="H574" s="8">
        <v>12</v>
      </c>
      <c r="J574" s="1" t="s">
        <v>514</v>
      </c>
      <c r="K574" s="1" t="s">
        <v>278</v>
      </c>
      <c r="O574" s="11">
        <v>14000000</v>
      </c>
      <c r="Q574" s="1" t="s">
        <v>35</v>
      </c>
      <c r="R574" s="1" t="s">
        <v>36</v>
      </c>
      <c r="W574" s="1" t="s">
        <v>42</v>
      </c>
      <c r="Y574" s="1" t="s">
        <v>37</v>
      </c>
      <c r="AA574" s="84">
        <v>1411</v>
      </c>
      <c r="AB574" s="1" t="s">
        <v>583</v>
      </c>
      <c r="AC574" s="12" t="s">
        <v>52</v>
      </c>
      <c r="AD574" s="13">
        <v>0</v>
      </c>
      <c r="AE574" s="14" t="s">
        <v>53</v>
      </c>
      <c r="AG574" s="1">
        <v>6130001400</v>
      </c>
      <c r="AH574" s="1" t="s">
        <v>517</v>
      </c>
      <c r="AI574" s="17" t="s">
        <v>40</v>
      </c>
      <c r="AL574" s="1" t="str">
        <f t="shared" si="9"/>
        <v>"Wijk-werker","","","14000000","","unspsc","M","","","","","K","","A010","","1411","6130001400","True",""</v>
      </c>
      <c r="AM574" s="2"/>
      <c r="AN574" s="2"/>
      <c r="AO574" s="2"/>
      <c r="AP574" s="2"/>
      <c r="AQ574" s="2"/>
      <c r="AR574" s="2"/>
      <c r="AS574" s="2"/>
    </row>
    <row r="575" spans="1:45" x14ac:dyDescent="0.25">
      <c r="A575" s="1">
        <v>200</v>
      </c>
      <c r="C575" s="1" t="s">
        <v>134</v>
      </c>
      <c r="E575" s="1" t="s">
        <v>579</v>
      </c>
      <c r="F575" s="1">
        <v>12</v>
      </c>
      <c r="G575" s="1" t="s">
        <v>277</v>
      </c>
      <c r="H575" s="8">
        <v>17</v>
      </c>
      <c r="J575" s="1" t="s">
        <v>41</v>
      </c>
      <c r="K575" s="1" t="s">
        <v>584</v>
      </c>
      <c r="O575" s="11">
        <v>80000000</v>
      </c>
      <c r="Q575" s="1" t="s">
        <v>35</v>
      </c>
      <c r="R575" s="1" t="s">
        <v>36</v>
      </c>
      <c r="W575" s="1" t="s">
        <v>42</v>
      </c>
      <c r="Y575" s="1" t="s">
        <v>37</v>
      </c>
      <c r="AA575" s="84">
        <v>80121604</v>
      </c>
      <c r="AB575" s="1" t="s">
        <v>585</v>
      </c>
      <c r="AC575" s="12" t="s">
        <v>138</v>
      </c>
      <c r="AD575" s="13">
        <v>0.06</v>
      </c>
      <c r="AE575" s="14" t="s">
        <v>53</v>
      </c>
      <c r="AG575" s="1">
        <v>6130001000</v>
      </c>
      <c r="AH575" s="1" t="s">
        <v>586</v>
      </c>
      <c r="AI575" s="17" t="s">
        <v>40</v>
      </c>
      <c r="AL575" s="1" t="str">
        <f t="shared" si="9"/>
        <v>"Operationele werking","","","80000000","","unspsc","M","","","","","K","","A010","","80121604","6130001000","True",""</v>
      </c>
    </row>
    <row r="576" spans="1:45" x14ac:dyDescent="0.25">
      <c r="A576" s="1">
        <v>200</v>
      </c>
      <c r="C576" s="1" t="s">
        <v>134</v>
      </c>
      <c r="E576" s="1" t="s">
        <v>579</v>
      </c>
      <c r="F576" s="1">
        <v>12</v>
      </c>
      <c r="G576" s="1" t="s">
        <v>277</v>
      </c>
      <c r="H576" s="8">
        <v>17</v>
      </c>
      <c r="J576" s="1" t="s">
        <v>41</v>
      </c>
      <c r="K576" s="1" t="s">
        <v>584</v>
      </c>
      <c r="O576" s="11">
        <v>80000000</v>
      </c>
      <c r="Q576" s="1" t="s">
        <v>35</v>
      </c>
      <c r="R576" s="1" t="s">
        <v>36</v>
      </c>
      <c r="W576" s="1" t="s">
        <v>42</v>
      </c>
      <c r="Y576" s="1" t="s">
        <v>37</v>
      </c>
      <c r="AA576" s="84">
        <v>80121604</v>
      </c>
      <c r="AB576" s="1" t="s">
        <v>587</v>
      </c>
      <c r="AC576" s="12" t="s">
        <v>138</v>
      </c>
      <c r="AD576" s="13">
        <v>0.06</v>
      </c>
      <c r="AE576" s="14" t="s">
        <v>53</v>
      </c>
      <c r="AG576" s="1">
        <v>6130001000</v>
      </c>
      <c r="AH576" s="1" t="s">
        <v>586</v>
      </c>
      <c r="AI576" s="17" t="s">
        <v>40</v>
      </c>
      <c r="AL576" s="1" t="str">
        <f t="shared" si="9"/>
        <v>"Operationele werking","","","80000000","","unspsc","M","","","","","K","","A010","","80121604","6130001000","True",""</v>
      </c>
    </row>
    <row r="577" spans="1:38" x14ac:dyDescent="0.25">
      <c r="A577" s="1">
        <v>200</v>
      </c>
      <c r="B577" s="1" t="s">
        <v>588</v>
      </c>
      <c r="C577" s="1" t="s">
        <v>31</v>
      </c>
      <c r="E577" s="1" t="s">
        <v>579</v>
      </c>
      <c r="F577" s="1">
        <v>12</v>
      </c>
      <c r="G577" s="1" t="s">
        <v>277</v>
      </c>
      <c r="H577" s="8">
        <v>17</v>
      </c>
      <c r="J577" s="1" t="s">
        <v>41</v>
      </c>
      <c r="K577" s="1" t="s">
        <v>278</v>
      </c>
      <c r="O577" s="11">
        <v>80000000</v>
      </c>
      <c r="Q577" s="1" t="s">
        <v>35</v>
      </c>
      <c r="R577" s="1" t="s">
        <v>36</v>
      </c>
      <c r="W577" s="1" t="s">
        <v>42</v>
      </c>
      <c r="Y577" s="1" t="s">
        <v>37</v>
      </c>
      <c r="AA577" s="84">
        <v>8012</v>
      </c>
      <c r="AB577" s="1" t="s">
        <v>589</v>
      </c>
      <c r="AC577" s="12" t="s">
        <v>91</v>
      </c>
      <c r="AD577" s="13">
        <v>0.21</v>
      </c>
      <c r="AE577" s="14" t="s">
        <v>53</v>
      </c>
      <c r="AG577" s="1">
        <v>6130000100</v>
      </c>
      <c r="AH577" s="1" t="s">
        <v>590</v>
      </c>
      <c r="AI577" s="17" t="s">
        <v>40</v>
      </c>
      <c r="AL577" s="1" t="str">
        <f t="shared" si="9"/>
        <v>"Operationele werking","","","80000000","","unspsc","M","","","","","K","","A010","","8012","6130000100","True",""</v>
      </c>
    </row>
    <row r="578" spans="1:38" x14ac:dyDescent="0.25">
      <c r="A578" s="1">
        <v>200</v>
      </c>
      <c r="C578" s="1" t="s">
        <v>134</v>
      </c>
      <c r="E578" s="1" t="s">
        <v>579</v>
      </c>
      <c r="F578" s="1">
        <v>12</v>
      </c>
      <c r="G578" s="1" t="s">
        <v>277</v>
      </c>
      <c r="H578" s="8">
        <v>17</v>
      </c>
      <c r="J578" s="1" t="s">
        <v>41</v>
      </c>
      <c r="K578" s="1" t="s">
        <v>278</v>
      </c>
      <c r="O578" s="11">
        <v>80000000</v>
      </c>
      <c r="Q578" s="1" t="s">
        <v>35</v>
      </c>
      <c r="R578" s="1" t="s">
        <v>36</v>
      </c>
      <c r="W578" s="1" t="s">
        <v>42</v>
      </c>
      <c r="Y578" s="1" t="s">
        <v>37</v>
      </c>
      <c r="AA578" s="84">
        <v>801215</v>
      </c>
      <c r="AB578" s="1" t="s">
        <v>591</v>
      </c>
      <c r="AC578" s="12" t="s">
        <v>91</v>
      </c>
      <c r="AD578" s="13">
        <v>0.21</v>
      </c>
      <c r="AE578" s="14" t="s">
        <v>53</v>
      </c>
      <c r="AG578" s="1">
        <v>6130000200</v>
      </c>
      <c r="AH578" s="1" t="s">
        <v>592</v>
      </c>
      <c r="AI578" s="17" t="s">
        <v>40</v>
      </c>
      <c r="AL578" s="1" t="str">
        <f t="shared" si="9"/>
        <v>"Operationele werking","","","80000000","","unspsc","M","","","","","K","","A010","","801215","6130000200","True",""</v>
      </c>
    </row>
    <row r="579" spans="1:38" x14ac:dyDescent="0.25">
      <c r="A579" s="1">
        <v>200</v>
      </c>
      <c r="C579" s="1" t="s">
        <v>62</v>
      </c>
      <c r="E579" s="1" t="s">
        <v>579</v>
      </c>
      <c r="F579" s="1">
        <v>12</v>
      </c>
      <c r="G579" s="1" t="s">
        <v>277</v>
      </c>
      <c r="H579" s="8">
        <v>17</v>
      </c>
      <c r="J579" s="1" t="s">
        <v>41</v>
      </c>
      <c r="K579" s="1" t="s">
        <v>278</v>
      </c>
      <c r="O579" s="11">
        <v>80000000</v>
      </c>
      <c r="Q579" s="1" t="s">
        <v>35</v>
      </c>
      <c r="R579" s="1" t="s">
        <v>36</v>
      </c>
      <c r="W579" s="1" t="s">
        <v>42</v>
      </c>
      <c r="Y579" s="1" t="s">
        <v>37</v>
      </c>
      <c r="AA579" s="84">
        <v>801117</v>
      </c>
      <c r="AB579" s="1" t="s">
        <v>593</v>
      </c>
      <c r="AC579" s="12" t="s">
        <v>52</v>
      </c>
      <c r="AD579" s="13">
        <v>0</v>
      </c>
      <c r="AE579" s="14" t="s">
        <v>53</v>
      </c>
      <c r="AG579" s="1">
        <v>6130000800</v>
      </c>
      <c r="AH579" s="1" t="s">
        <v>594</v>
      </c>
      <c r="AI579" s="17" t="s">
        <v>40</v>
      </c>
      <c r="AL579" s="1" t="str">
        <f t="shared" si="9"/>
        <v>"Operationele werking","","","80000000","","unspsc","M","","","","","K","","A010","","801117","6130000800","True",""</v>
      </c>
    </row>
    <row r="580" spans="1:38" x14ac:dyDescent="0.25">
      <c r="A580" s="1">
        <v>200</v>
      </c>
      <c r="C580" s="1" t="s">
        <v>31</v>
      </c>
      <c r="E580" s="1" t="s">
        <v>579</v>
      </c>
      <c r="F580" s="1">
        <v>12</v>
      </c>
      <c r="G580" s="1" t="s">
        <v>277</v>
      </c>
      <c r="H580" s="8">
        <v>17</v>
      </c>
      <c r="J580" s="1" t="s">
        <v>41</v>
      </c>
      <c r="K580" s="1" t="s">
        <v>278</v>
      </c>
      <c r="O580" s="11">
        <v>80000000</v>
      </c>
      <c r="Q580" s="1" t="s">
        <v>35</v>
      </c>
      <c r="R580" s="1" t="s">
        <v>36</v>
      </c>
      <c r="W580" s="1" t="s">
        <v>42</v>
      </c>
      <c r="Y580" s="1" t="s">
        <v>37</v>
      </c>
      <c r="AA580" s="84">
        <v>801116</v>
      </c>
      <c r="AB580" s="1" t="s">
        <v>595</v>
      </c>
      <c r="AC580" s="12" t="s">
        <v>91</v>
      </c>
      <c r="AD580" s="13">
        <v>0.21</v>
      </c>
      <c r="AE580" s="14" t="s">
        <v>53</v>
      </c>
      <c r="AG580" s="1">
        <v>6170000000</v>
      </c>
      <c r="AH580" s="1" t="s">
        <v>596</v>
      </c>
      <c r="AI580" s="17" t="s">
        <v>40</v>
      </c>
      <c r="AL580" s="1" t="str">
        <f t="shared" ref="AL580:AL631" si="10">""""&amp;J580&amp;""""&amp;","&amp;""""&amp;L580&amp;""""&amp;","&amp;""""&amp;M580&amp;""""&amp;","&amp;""""&amp;O580&amp;""""&amp;","&amp;""""&amp;P580&amp;""""&amp;","&amp;""""&amp;Q580&amp;""""&amp;","&amp;""""&amp;R580&amp;""""&amp;","&amp;""""&amp;S580&amp;""""&amp;","&amp;""""&amp;T580&amp;""""&amp;","&amp;""""&amp;U580&amp;""""&amp;","&amp;""""&amp;V580&amp;""""&amp;","&amp;""""&amp;W580&amp;""""&amp;","&amp;""""&amp;X580&amp;""""&amp;","&amp;""""&amp;Y580&amp;""""&amp;","&amp;""""&amp;Z580&amp;""""&amp;","&amp;""""&amp;AA580&amp;""""&amp;","&amp;""""&amp;AG580&amp;""""&amp;","&amp;""""&amp;AI580&amp;""""&amp;","&amp;""""&amp;AJ580&amp;""""&amp;""</f>
        <v>"Operationele werking","","","80000000","","unspsc","M","","","","","K","","A010","","801116","6170000000","True",""</v>
      </c>
    </row>
    <row r="581" spans="1:38" x14ac:dyDescent="0.25">
      <c r="A581" s="1">
        <v>200</v>
      </c>
      <c r="C581" s="1" t="s">
        <v>62</v>
      </c>
      <c r="E581" s="1" t="s">
        <v>579</v>
      </c>
      <c r="F581" s="1">
        <v>12</v>
      </c>
      <c r="G581" s="1" t="s">
        <v>277</v>
      </c>
      <c r="H581" s="8">
        <v>17</v>
      </c>
      <c r="J581" s="1" t="s">
        <v>41</v>
      </c>
      <c r="K581" s="1" t="s">
        <v>278</v>
      </c>
      <c r="O581" s="11">
        <v>80000000</v>
      </c>
      <c r="Q581" s="1" t="s">
        <v>35</v>
      </c>
      <c r="R581" s="1" t="s">
        <v>36</v>
      </c>
      <c r="W581" s="1" t="s">
        <v>42</v>
      </c>
      <c r="Y581" s="1" t="s">
        <v>37</v>
      </c>
      <c r="AA581" s="84">
        <v>801220</v>
      </c>
      <c r="AB581" s="1" t="s">
        <v>597</v>
      </c>
      <c r="AC581" s="12" t="s">
        <v>52</v>
      </c>
      <c r="AD581" s="13">
        <v>0</v>
      </c>
      <c r="AE581" s="14" t="s">
        <v>53</v>
      </c>
      <c r="AG581" s="1">
        <v>6430000200</v>
      </c>
      <c r="AH581" s="1" t="s">
        <v>597</v>
      </c>
      <c r="AI581" s="17" t="s">
        <v>40</v>
      </c>
      <c r="AL581" s="1" t="str">
        <f t="shared" si="10"/>
        <v>"Operationele werking","","","80000000","","unspsc","M","","","","","K","","A010","","801220","6430000200","True",""</v>
      </c>
    </row>
    <row r="582" spans="1:38" x14ac:dyDescent="0.25">
      <c r="A582" s="1">
        <v>200</v>
      </c>
      <c r="C582" s="1" t="s">
        <v>62</v>
      </c>
      <c r="E582" s="1" t="s">
        <v>579</v>
      </c>
      <c r="F582" s="1">
        <v>12</v>
      </c>
      <c r="G582" s="1" t="s">
        <v>277</v>
      </c>
      <c r="H582" s="8">
        <v>17</v>
      </c>
      <c r="J582" s="1" t="s">
        <v>41</v>
      </c>
      <c r="K582" s="1" t="s">
        <v>288</v>
      </c>
      <c r="O582" s="11">
        <v>80000000</v>
      </c>
      <c r="Q582" s="1" t="s">
        <v>35</v>
      </c>
      <c r="R582" s="1" t="s">
        <v>36</v>
      </c>
      <c r="W582" s="1" t="s">
        <v>42</v>
      </c>
      <c r="Y582" s="1" t="s">
        <v>37</v>
      </c>
      <c r="AA582" s="84">
        <v>8011</v>
      </c>
      <c r="AB582" s="1" t="s">
        <v>594</v>
      </c>
      <c r="AC582" s="12" t="s">
        <v>52</v>
      </c>
      <c r="AD582" s="13">
        <v>0</v>
      </c>
      <c r="AE582" s="14" t="s">
        <v>53</v>
      </c>
      <c r="AG582" s="1">
        <v>6130000800</v>
      </c>
      <c r="AH582" s="1" t="s">
        <v>594</v>
      </c>
      <c r="AI582" s="17" t="s">
        <v>40</v>
      </c>
      <c r="AL582" s="1" t="str">
        <f t="shared" si="10"/>
        <v>"Operationele werking","","","80000000","","unspsc","M","","","","","K","","A010","","8011","6130000800","True",""</v>
      </c>
    </row>
    <row r="583" spans="1:38" x14ac:dyDescent="0.25">
      <c r="A583" s="1">
        <v>200</v>
      </c>
      <c r="C583" s="1" t="s">
        <v>62</v>
      </c>
      <c r="E583" s="1" t="s">
        <v>579</v>
      </c>
      <c r="F583" s="1">
        <v>12</v>
      </c>
      <c r="G583" s="1" t="s">
        <v>277</v>
      </c>
      <c r="H583" s="8">
        <v>21</v>
      </c>
      <c r="J583" s="1" t="s">
        <v>598</v>
      </c>
      <c r="K583" s="1" t="s">
        <v>288</v>
      </c>
      <c r="O583" s="11">
        <v>82000000</v>
      </c>
      <c r="Q583" s="1" t="s">
        <v>35</v>
      </c>
      <c r="R583" s="1" t="s">
        <v>36</v>
      </c>
      <c r="W583" s="1" t="s">
        <v>42</v>
      </c>
      <c r="Y583" s="1" t="s">
        <v>37</v>
      </c>
      <c r="AA583" s="84">
        <v>8215</v>
      </c>
      <c r="AB583" s="1" t="s">
        <v>598</v>
      </c>
      <c r="AC583" s="12" t="s">
        <v>52</v>
      </c>
      <c r="AD583" s="13">
        <v>0</v>
      </c>
      <c r="AE583" s="14" t="s">
        <v>53</v>
      </c>
      <c r="AG583" s="1">
        <v>6131000600</v>
      </c>
      <c r="AH583" s="1" t="s">
        <v>598</v>
      </c>
      <c r="AI583" s="17" t="s">
        <v>40</v>
      </c>
      <c r="AL583" s="1" t="str">
        <f t="shared" si="10"/>
        <v>"Modellen","","","82000000","","unspsc","M","","","","","K","","A010","","8215","6131000600","True",""</v>
      </c>
    </row>
    <row r="584" spans="1:38" x14ac:dyDescent="0.25">
      <c r="A584" s="1">
        <v>200</v>
      </c>
      <c r="C584" s="1" t="s">
        <v>62</v>
      </c>
      <c r="E584" s="1" t="s">
        <v>579</v>
      </c>
      <c r="F584" s="1">
        <v>12</v>
      </c>
      <c r="G584" s="1" t="s">
        <v>277</v>
      </c>
      <c r="H584" s="8">
        <v>17</v>
      </c>
      <c r="J584" s="1" t="s">
        <v>41</v>
      </c>
      <c r="K584" s="1" t="s">
        <v>288</v>
      </c>
      <c r="O584" s="11">
        <v>82000000</v>
      </c>
      <c r="Q584" s="1" t="s">
        <v>35</v>
      </c>
      <c r="R584" s="1" t="s">
        <v>36</v>
      </c>
      <c r="W584" s="1" t="s">
        <v>42</v>
      </c>
      <c r="Y584" s="1" t="s">
        <v>37</v>
      </c>
      <c r="AA584" s="84">
        <v>8211</v>
      </c>
      <c r="AB584" s="1" t="s">
        <v>599</v>
      </c>
      <c r="AC584" s="12" t="s">
        <v>52</v>
      </c>
      <c r="AD584" s="13">
        <v>0</v>
      </c>
      <c r="AE584" s="14" t="s">
        <v>53</v>
      </c>
      <c r="AG584" s="1">
        <v>6130000600</v>
      </c>
      <c r="AH584" s="1" t="s">
        <v>287</v>
      </c>
      <c r="AI584" s="17" t="s">
        <v>40</v>
      </c>
      <c r="AL584" s="1" t="str">
        <f t="shared" si="10"/>
        <v>"Operationele werking","","","82000000","","unspsc","M","","","","","K","","A010","","8211","6130000600","True",""</v>
      </c>
    </row>
    <row r="585" spans="1:38" x14ac:dyDescent="0.25">
      <c r="A585" s="1">
        <v>200</v>
      </c>
      <c r="C585" s="1" t="s">
        <v>134</v>
      </c>
      <c r="E585" s="1" t="s">
        <v>579</v>
      </c>
      <c r="F585" s="1">
        <v>12</v>
      </c>
      <c r="G585" s="1" t="s">
        <v>277</v>
      </c>
      <c r="H585" s="8">
        <v>17</v>
      </c>
      <c r="J585" s="1" t="s">
        <v>41</v>
      </c>
      <c r="K585" s="1" t="s">
        <v>278</v>
      </c>
      <c r="O585" s="11">
        <v>84000000</v>
      </c>
      <c r="Q585" s="1" t="s">
        <v>35</v>
      </c>
      <c r="R585" s="1" t="s">
        <v>36</v>
      </c>
      <c r="W585" s="1" t="s">
        <v>42</v>
      </c>
      <c r="Y585" s="1" t="s">
        <v>37</v>
      </c>
      <c r="AA585" s="84">
        <v>841116</v>
      </c>
      <c r="AB585" s="1" t="s">
        <v>600</v>
      </c>
      <c r="AC585" s="12" t="s">
        <v>91</v>
      </c>
      <c r="AD585" s="13">
        <v>0.21</v>
      </c>
      <c r="AE585" s="14" t="s">
        <v>53</v>
      </c>
      <c r="AG585" s="1">
        <v>6130000500</v>
      </c>
      <c r="AH585" s="1" t="s">
        <v>601</v>
      </c>
      <c r="AI585" s="17" t="s">
        <v>40</v>
      </c>
      <c r="AL585" s="1" t="str">
        <f t="shared" si="10"/>
        <v>"Operationele werking","","","84000000","","unspsc","M","","","","","K","","A010","","841116","6130000500","True",""</v>
      </c>
    </row>
    <row r="586" spans="1:38" x14ac:dyDescent="0.25">
      <c r="A586" s="1">
        <v>200</v>
      </c>
      <c r="C586" s="1" t="s">
        <v>134</v>
      </c>
      <c r="E586" s="1" t="s">
        <v>579</v>
      </c>
      <c r="F586" s="1">
        <v>12</v>
      </c>
      <c r="G586" s="1" t="s">
        <v>277</v>
      </c>
      <c r="H586" s="8">
        <v>17</v>
      </c>
      <c r="J586" s="1" t="s">
        <v>41</v>
      </c>
      <c r="K586" s="1" t="s">
        <v>278</v>
      </c>
      <c r="O586" s="11">
        <v>84000000</v>
      </c>
      <c r="Q586" s="1" t="s">
        <v>35</v>
      </c>
      <c r="R586" s="1" t="s">
        <v>36</v>
      </c>
      <c r="W586" s="1" t="s">
        <v>42</v>
      </c>
      <c r="Y586" s="1" t="s">
        <v>37</v>
      </c>
      <c r="AA586" s="84">
        <v>84131605</v>
      </c>
      <c r="AB586" s="1" t="s">
        <v>602</v>
      </c>
      <c r="AC586" s="12" t="s">
        <v>52</v>
      </c>
      <c r="AD586" s="13">
        <v>0</v>
      </c>
      <c r="AE586" s="14" t="s">
        <v>53</v>
      </c>
      <c r="AG586" s="1">
        <v>6120000300</v>
      </c>
      <c r="AH586" s="1" t="s">
        <v>603</v>
      </c>
      <c r="AI586" s="17" t="s">
        <v>40</v>
      </c>
      <c r="AL586" s="1" t="str">
        <f t="shared" si="10"/>
        <v>"Operationele werking","","","84000000","","unspsc","M","","","","","K","","A010","","84131605","6120000300","True",""</v>
      </c>
    </row>
    <row r="587" spans="1:38" x14ac:dyDescent="0.25">
      <c r="A587" s="1">
        <v>200</v>
      </c>
      <c r="C587" s="1" t="s">
        <v>62</v>
      </c>
      <c r="E587" s="1" t="s">
        <v>579</v>
      </c>
      <c r="F587" s="1">
        <v>12</v>
      </c>
      <c r="G587" s="1" t="s">
        <v>277</v>
      </c>
      <c r="H587" s="8">
        <v>17</v>
      </c>
      <c r="J587" s="1" t="s">
        <v>41</v>
      </c>
      <c r="K587" s="1" t="s">
        <v>278</v>
      </c>
      <c r="O587" s="11">
        <v>84000000</v>
      </c>
      <c r="Q587" s="1" t="s">
        <v>35</v>
      </c>
      <c r="R587" s="1" t="s">
        <v>36</v>
      </c>
      <c r="W587" s="1" t="s">
        <v>42</v>
      </c>
      <c r="Y587" s="1" t="s">
        <v>37</v>
      </c>
      <c r="AA587" s="84">
        <v>8413</v>
      </c>
      <c r="AB587" s="1" t="s">
        <v>604</v>
      </c>
      <c r="AC587" s="12" t="s">
        <v>52</v>
      </c>
      <c r="AD587" s="13">
        <v>0</v>
      </c>
      <c r="AE587" s="14" t="s">
        <v>53</v>
      </c>
      <c r="AG587" s="1">
        <v>6120000200</v>
      </c>
      <c r="AH587" s="1" t="s">
        <v>605</v>
      </c>
      <c r="AI587" s="17" t="s">
        <v>40</v>
      </c>
      <c r="AL587" s="1" t="str">
        <f t="shared" si="10"/>
        <v>"Operationele werking","","","84000000","","unspsc","M","","","","","K","","A010","","8413","6120000200","True",""</v>
      </c>
    </row>
    <row r="588" spans="1:38" x14ac:dyDescent="0.25">
      <c r="A588" s="1">
        <v>200</v>
      </c>
      <c r="C588" s="1" t="s">
        <v>62</v>
      </c>
      <c r="E588" s="1" t="s">
        <v>579</v>
      </c>
      <c r="F588" s="1">
        <v>12</v>
      </c>
      <c r="G588" s="1" t="s">
        <v>277</v>
      </c>
      <c r="H588" s="8">
        <v>17</v>
      </c>
      <c r="J588" s="1" t="s">
        <v>41</v>
      </c>
      <c r="K588" s="1" t="s">
        <v>278</v>
      </c>
      <c r="O588" s="11">
        <v>84000000</v>
      </c>
      <c r="Q588" s="1" t="s">
        <v>35</v>
      </c>
      <c r="R588" s="1" t="s">
        <v>36</v>
      </c>
      <c r="W588" s="1" t="s">
        <v>42</v>
      </c>
      <c r="Y588" s="1" t="s">
        <v>37</v>
      </c>
      <c r="AA588" s="84">
        <v>84131603</v>
      </c>
      <c r="AB588" s="1" t="s">
        <v>606</v>
      </c>
      <c r="AC588" s="12" t="s">
        <v>52</v>
      </c>
      <c r="AD588" s="13">
        <v>0</v>
      </c>
      <c r="AE588" s="14" t="s">
        <v>53</v>
      </c>
      <c r="AG588" s="1">
        <v>6120009000</v>
      </c>
      <c r="AH588" s="1" t="s">
        <v>607</v>
      </c>
      <c r="AI588" s="17" t="s">
        <v>40</v>
      </c>
      <c r="AL588" s="1" t="str">
        <f t="shared" si="10"/>
        <v>"Operationele werking","","","84000000","","unspsc","M","","","","","K","","A010","","84131603","6120009000","True",""</v>
      </c>
    </row>
    <row r="589" spans="1:38" x14ac:dyDescent="0.25">
      <c r="A589" s="1">
        <v>200</v>
      </c>
      <c r="C589" s="1" t="s">
        <v>62</v>
      </c>
      <c r="E589" s="1" t="s">
        <v>579</v>
      </c>
      <c r="F589" s="1">
        <v>12</v>
      </c>
      <c r="G589" s="1" t="s">
        <v>277</v>
      </c>
      <c r="H589" s="8">
        <v>17</v>
      </c>
      <c r="J589" s="1" t="s">
        <v>41</v>
      </c>
      <c r="K589" s="1" t="s">
        <v>278</v>
      </c>
      <c r="O589" s="11">
        <v>84000000</v>
      </c>
      <c r="Q589" s="1" t="s">
        <v>35</v>
      </c>
      <c r="R589" s="1" t="s">
        <v>36</v>
      </c>
      <c r="W589" s="1" t="s">
        <v>42</v>
      </c>
      <c r="Y589" s="1" t="s">
        <v>37</v>
      </c>
      <c r="AA589" s="84">
        <v>84131503</v>
      </c>
      <c r="AB589" s="1" t="s">
        <v>608</v>
      </c>
      <c r="AC589" s="12" t="s">
        <v>52</v>
      </c>
      <c r="AD589" s="13">
        <v>0</v>
      </c>
      <c r="AE589" s="14" t="s">
        <v>53</v>
      </c>
      <c r="AG589" s="1">
        <v>6120000100</v>
      </c>
      <c r="AH589" s="1" t="s">
        <v>609</v>
      </c>
      <c r="AI589" s="17" t="s">
        <v>40</v>
      </c>
      <c r="AL589" s="1" t="str">
        <f t="shared" si="10"/>
        <v>"Operationele werking","","","84000000","","unspsc","M","","","","","K","","A010","","84131503","6120000100","True",""</v>
      </c>
    </row>
    <row r="590" spans="1:38" x14ac:dyDescent="0.25">
      <c r="A590" s="1">
        <v>200</v>
      </c>
      <c r="C590" s="1" t="s">
        <v>62</v>
      </c>
      <c r="E590" s="1" t="s">
        <v>579</v>
      </c>
      <c r="F590" s="1">
        <v>12</v>
      </c>
      <c r="G590" s="1" t="s">
        <v>277</v>
      </c>
      <c r="H590" s="8">
        <v>17</v>
      </c>
      <c r="J590" s="1" t="s">
        <v>41</v>
      </c>
      <c r="K590" s="1" t="s">
        <v>278</v>
      </c>
      <c r="O590" s="11">
        <v>84000000</v>
      </c>
      <c r="Q590" s="1" t="s">
        <v>35</v>
      </c>
      <c r="R590" s="1" t="s">
        <v>36</v>
      </c>
      <c r="W590" s="1" t="s">
        <v>42</v>
      </c>
      <c r="Y590" s="1" t="s">
        <v>37</v>
      </c>
      <c r="AA590" s="84">
        <v>84131501</v>
      </c>
      <c r="AB590" s="1" t="s">
        <v>610</v>
      </c>
      <c r="AC590" s="12" t="s">
        <v>52</v>
      </c>
      <c r="AD590" s="13">
        <v>0</v>
      </c>
      <c r="AE590" s="14" t="s">
        <v>53</v>
      </c>
      <c r="AG590" s="1">
        <v>6120009000</v>
      </c>
      <c r="AH590" s="1" t="s">
        <v>607</v>
      </c>
      <c r="AI590" s="17" t="s">
        <v>40</v>
      </c>
      <c r="AL590" s="1" t="str">
        <f t="shared" si="10"/>
        <v>"Operationele werking","","","84000000","","unspsc","M","","","","","K","","A010","","84131501","6120009000","True",""</v>
      </c>
    </row>
    <row r="591" spans="1:38" x14ac:dyDescent="0.25">
      <c r="A591" s="1">
        <v>200</v>
      </c>
      <c r="B591" s="1" t="s">
        <v>611</v>
      </c>
      <c r="C591" s="1" t="s">
        <v>134</v>
      </c>
      <c r="E591" s="1" t="s">
        <v>579</v>
      </c>
      <c r="F591" s="1">
        <v>12</v>
      </c>
      <c r="G591" s="1" t="s">
        <v>277</v>
      </c>
      <c r="H591" s="8">
        <v>17</v>
      </c>
      <c r="J591" s="1" t="s">
        <v>41</v>
      </c>
      <c r="K591" s="1" t="s">
        <v>278</v>
      </c>
      <c r="O591" s="11">
        <v>85000000</v>
      </c>
      <c r="Q591" s="1" t="s">
        <v>35</v>
      </c>
      <c r="R591" s="1" t="s">
        <v>36</v>
      </c>
      <c r="W591" s="1" t="s">
        <v>42</v>
      </c>
      <c r="Y591" s="1" t="s">
        <v>37</v>
      </c>
      <c r="AA591" s="84">
        <v>85101702</v>
      </c>
      <c r="AB591" s="1" t="s">
        <v>612</v>
      </c>
      <c r="AC591" s="12" t="s">
        <v>52</v>
      </c>
      <c r="AD591" s="13">
        <v>0</v>
      </c>
      <c r="AE591" s="14" t="s">
        <v>53</v>
      </c>
      <c r="AG591" s="1">
        <v>6152001300</v>
      </c>
      <c r="AH591" s="1" t="s">
        <v>613</v>
      </c>
      <c r="AI591" s="17" t="s">
        <v>40</v>
      </c>
      <c r="AL591" s="1" t="str">
        <f t="shared" si="10"/>
        <v>"Operationele werking","","","85000000","","unspsc","M","","","","","K","","A010","","85101702","6152001300","True",""</v>
      </c>
    </row>
    <row r="592" spans="1:38" x14ac:dyDescent="0.25">
      <c r="A592" s="1">
        <v>200</v>
      </c>
      <c r="C592" s="1" t="s">
        <v>62</v>
      </c>
      <c r="E592" s="1" t="s">
        <v>579</v>
      </c>
      <c r="F592" s="1">
        <v>12</v>
      </c>
      <c r="G592" s="1" t="s">
        <v>277</v>
      </c>
      <c r="H592" s="8">
        <v>17</v>
      </c>
      <c r="J592" s="1" t="s">
        <v>41</v>
      </c>
      <c r="K592" s="1" t="s">
        <v>288</v>
      </c>
      <c r="O592" s="11">
        <v>85000000</v>
      </c>
      <c r="Q592" s="1" t="s">
        <v>35</v>
      </c>
      <c r="R592" s="1" t="s">
        <v>36</v>
      </c>
      <c r="W592" s="1" t="s">
        <v>42</v>
      </c>
      <c r="Y592" s="1" t="s">
        <v>37</v>
      </c>
      <c r="AA592" s="84">
        <v>8510</v>
      </c>
      <c r="AB592" s="1" t="s">
        <v>614</v>
      </c>
      <c r="AC592" s="12" t="s">
        <v>52</v>
      </c>
      <c r="AD592" s="13">
        <v>0</v>
      </c>
      <c r="AE592" s="14" t="s">
        <v>53</v>
      </c>
      <c r="AG592" s="1">
        <v>6130000900</v>
      </c>
      <c r="AH592" s="1" t="s">
        <v>615</v>
      </c>
      <c r="AI592" s="17" t="s">
        <v>40</v>
      </c>
      <c r="AL592" s="1" t="str">
        <f t="shared" si="10"/>
        <v>"Operationele werking","","","85000000","","unspsc","M","","","","","K","","A010","","8510","6130000900","True",""</v>
      </c>
    </row>
    <row r="593" spans="1:45" x14ac:dyDescent="0.25">
      <c r="A593" s="1">
        <v>200</v>
      </c>
      <c r="C593" s="1" t="s">
        <v>134</v>
      </c>
      <c r="E593" s="1" t="s">
        <v>579</v>
      </c>
      <c r="F593" s="1">
        <v>12</v>
      </c>
      <c r="G593" s="1" t="s">
        <v>277</v>
      </c>
      <c r="H593" s="8">
        <v>17</v>
      </c>
      <c r="J593" s="1" t="s">
        <v>41</v>
      </c>
      <c r="K593" s="1" t="s">
        <v>278</v>
      </c>
      <c r="O593" s="11">
        <v>85000000</v>
      </c>
      <c r="Q593" s="1" t="s">
        <v>35</v>
      </c>
      <c r="R593" s="1" t="s">
        <v>36</v>
      </c>
      <c r="W593" s="1" t="s">
        <v>42</v>
      </c>
      <c r="Y593" s="1" t="s">
        <v>37</v>
      </c>
      <c r="AA593" s="84">
        <v>85101701</v>
      </c>
      <c r="AB593" s="1" t="s">
        <v>616</v>
      </c>
      <c r="AC593" s="12" t="s">
        <v>52</v>
      </c>
      <c r="AD593" s="13">
        <v>0</v>
      </c>
      <c r="AE593" s="14" t="s">
        <v>53</v>
      </c>
      <c r="AG593" s="1">
        <v>6152001300</v>
      </c>
      <c r="AH593" s="1" t="s">
        <v>613</v>
      </c>
      <c r="AI593" s="17" t="s">
        <v>40</v>
      </c>
      <c r="AL593" s="1" t="str">
        <f t="shared" si="10"/>
        <v>"Operationele werking","","","85000000","","unspsc","M","","","","","K","","A010","","85101701","6152001300","True",""</v>
      </c>
    </row>
    <row r="594" spans="1:45" x14ac:dyDescent="0.25">
      <c r="A594" s="1">
        <v>200</v>
      </c>
      <c r="B594" s="1" t="s">
        <v>611</v>
      </c>
      <c r="C594" s="1" t="s">
        <v>134</v>
      </c>
      <c r="E594" s="1" t="s">
        <v>579</v>
      </c>
      <c r="F594" s="1">
        <v>12</v>
      </c>
      <c r="G594" s="1" t="s">
        <v>277</v>
      </c>
      <c r="H594" s="8">
        <v>17</v>
      </c>
      <c r="J594" s="1" t="s">
        <v>41</v>
      </c>
      <c r="K594" s="1" t="s">
        <v>278</v>
      </c>
      <c r="O594" s="11">
        <v>85000000</v>
      </c>
      <c r="Q594" s="1" t="s">
        <v>35</v>
      </c>
      <c r="R594" s="1" t="s">
        <v>36</v>
      </c>
      <c r="W594" s="1" t="s">
        <v>42</v>
      </c>
      <c r="Y594" s="1" t="s">
        <v>37</v>
      </c>
      <c r="AA594" s="84">
        <v>85111510</v>
      </c>
      <c r="AB594" s="1" t="s">
        <v>617</v>
      </c>
      <c r="AC594" s="12" t="s">
        <v>52</v>
      </c>
      <c r="AD594" s="13">
        <v>0</v>
      </c>
      <c r="AE594" s="14" t="s">
        <v>53</v>
      </c>
      <c r="AG594" s="1">
        <v>6152001300</v>
      </c>
      <c r="AH594" s="1" t="s">
        <v>613</v>
      </c>
      <c r="AI594" s="17" t="s">
        <v>40</v>
      </c>
      <c r="AL594" s="1" t="str">
        <f t="shared" si="10"/>
        <v>"Operationele werking","","","85000000","","unspsc","M","","","","","K","","A010","","85111510","6152001300","True",""</v>
      </c>
    </row>
    <row r="595" spans="1:45" x14ac:dyDescent="0.25">
      <c r="A595" s="1">
        <v>200</v>
      </c>
      <c r="C595" s="1" t="s">
        <v>410</v>
      </c>
      <c r="E595" s="1" t="s">
        <v>579</v>
      </c>
      <c r="F595" s="1">
        <v>12</v>
      </c>
      <c r="G595" s="1" t="s">
        <v>277</v>
      </c>
      <c r="H595" s="8">
        <v>17</v>
      </c>
      <c r="J595" s="1" t="s">
        <v>41</v>
      </c>
      <c r="K595" s="1" t="s">
        <v>278</v>
      </c>
      <c r="O595" s="11">
        <v>85000000</v>
      </c>
      <c r="Q595" s="1" t="s">
        <v>35</v>
      </c>
      <c r="R595" s="1" t="s">
        <v>36</v>
      </c>
      <c r="W595" s="1" t="s">
        <v>42</v>
      </c>
      <c r="Y595" s="1" t="s">
        <v>37</v>
      </c>
      <c r="AA595" s="84">
        <v>85101707</v>
      </c>
      <c r="AB595" s="1" t="s">
        <v>618</v>
      </c>
      <c r="AC595" s="12" t="s">
        <v>52</v>
      </c>
      <c r="AD595" s="13">
        <v>0</v>
      </c>
      <c r="AE595" s="14" t="s">
        <v>53</v>
      </c>
      <c r="AG595" s="1">
        <v>6152001300</v>
      </c>
      <c r="AH595" s="1" t="s">
        <v>613</v>
      </c>
      <c r="AI595" s="17" t="s">
        <v>40</v>
      </c>
      <c r="AL595" s="1" t="str">
        <f t="shared" si="10"/>
        <v>"Operationele werking","","","85000000","","unspsc","M","","","","","K","","A010","","85101707","6152001300","True",""</v>
      </c>
    </row>
    <row r="596" spans="1:45" x14ac:dyDescent="0.25">
      <c r="A596" s="1">
        <v>200</v>
      </c>
      <c r="C596" s="1" t="s">
        <v>134</v>
      </c>
      <c r="E596" s="1" t="s">
        <v>579</v>
      </c>
      <c r="F596" s="1">
        <v>12</v>
      </c>
      <c r="G596" s="1" t="s">
        <v>277</v>
      </c>
      <c r="H596" s="8">
        <v>16</v>
      </c>
      <c r="J596" s="1" t="s">
        <v>619</v>
      </c>
      <c r="K596" s="1" t="s">
        <v>278</v>
      </c>
      <c r="O596" s="11">
        <v>93000000</v>
      </c>
      <c r="Q596" s="1" t="s">
        <v>35</v>
      </c>
      <c r="R596" s="1" t="s">
        <v>36</v>
      </c>
      <c r="W596" s="1" t="s">
        <v>42</v>
      </c>
      <c r="Y596" s="1" t="s">
        <v>37</v>
      </c>
      <c r="AA596" s="84" t="s">
        <v>620</v>
      </c>
      <c r="AB596" s="1" t="s">
        <v>621</v>
      </c>
      <c r="AC596" s="12" t="s">
        <v>52</v>
      </c>
      <c r="AD596" s="13">
        <v>0</v>
      </c>
      <c r="AE596" s="14" t="s">
        <v>53</v>
      </c>
      <c r="AG596" s="1">
        <v>6400009000</v>
      </c>
      <c r="AH596" s="1" t="s">
        <v>622</v>
      </c>
      <c r="AI596" s="17" t="s">
        <v>40</v>
      </c>
      <c r="AL596" s="1" t="str">
        <f t="shared" si="10"/>
        <v>"Belastingen en/of taksen","","","93000000","","unspsc","M","","","","","K","","A010","","9316D","6400009000","True",""</v>
      </c>
    </row>
    <row r="597" spans="1:45" x14ac:dyDescent="0.25">
      <c r="A597" s="1">
        <v>200</v>
      </c>
      <c r="C597" s="1" t="s">
        <v>134</v>
      </c>
      <c r="E597" s="1" t="s">
        <v>49</v>
      </c>
      <c r="F597" s="1">
        <v>12</v>
      </c>
      <c r="G597" s="1" t="s">
        <v>277</v>
      </c>
      <c r="H597" s="8">
        <v>16</v>
      </c>
      <c r="J597" s="1" t="s">
        <v>619</v>
      </c>
      <c r="K597" s="1" t="s">
        <v>278</v>
      </c>
      <c r="O597" s="11">
        <v>93000000</v>
      </c>
      <c r="Q597" s="1" t="s">
        <v>35</v>
      </c>
      <c r="R597" s="1" t="s">
        <v>36</v>
      </c>
      <c r="W597" s="1" t="s">
        <v>42</v>
      </c>
      <c r="Y597" s="1" t="s">
        <v>37</v>
      </c>
      <c r="AA597" s="84">
        <v>9316</v>
      </c>
      <c r="AB597" s="1" t="s">
        <v>623</v>
      </c>
      <c r="AC597" s="12" t="s">
        <v>52</v>
      </c>
      <c r="AD597" s="13">
        <v>0</v>
      </c>
      <c r="AE597" s="14" t="s">
        <v>53</v>
      </c>
      <c r="AG597" s="1">
        <v>6400000600</v>
      </c>
      <c r="AH597" s="1" t="s">
        <v>623</v>
      </c>
      <c r="AI597" s="17" t="s">
        <v>40</v>
      </c>
      <c r="AL597" s="1" t="str">
        <f t="shared" si="10"/>
        <v>"Belastingen en/of taksen","","","93000000","","unspsc","M","","","","","K","","A010","","9316","6400000600","True",""</v>
      </c>
    </row>
    <row r="598" spans="1:45" x14ac:dyDescent="0.25">
      <c r="A598" s="1">
        <v>200</v>
      </c>
      <c r="C598" s="1" t="s">
        <v>134</v>
      </c>
      <c r="E598" s="1" t="s">
        <v>579</v>
      </c>
      <c r="F598" s="1">
        <v>12</v>
      </c>
      <c r="G598" s="1" t="s">
        <v>277</v>
      </c>
      <c r="H598" s="8">
        <v>16</v>
      </c>
      <c r="J598" s="1" t="s">
        <v>619</v>
      </c>
      <c r="K598" s="1" t="s">
        <v>278</v>
      </c>
      <c r="O598" s="11">
        <v>93000000</v>
      </c>
      <c r="Q598" s="1" t="s">
        <v>35</v>
      </c>
      <c r="R598" s="1" t="s">
        <v>36</v>
      </c>
      <c r="W598" s="1" t="s">
        <v>42</v>
      </c>
      <c r="Y598" s="1" t="s">
        <v>37</v>
      </c>
      <c r="AA598" s="84" t="s">
        <v>624</v>
      </c>
      <c r="AB598" s="1" t="s">
        <v>625</v>
      </c>
      <c r="AC598" s="12" t="s">
        <v>52</v>
      </c>
      <c r="AD598" s="13">
        <v>0</v>
      </c>
      <c r="AE598" s="14" t="s">
        <v>53</v>
      </c>
      <c r="AG598" s="1">
        <v>6400009000</v>
      </c>
      <c r="AH598" s="1" t="s">
        <v>622</v>
      </c>
      <c r="AI598" s="17" t="s">
        <v>40</v>
      </c>
      <c r="AL598" s="1" t="str">
        <f t="shared" si="10"/>
        <v>"Belastingen en/of taksen","","","93000000","","unspsc","M","","","","","K","","A010","","9316C","6400009000","True",""</v>
      </c>
    </row>
    <row r="599" spans="1:45" x14ac:dyDescent="0.25">
      <c r="A599" s="1">
        <v>200</v>
      </c>
      <c r="C599" s="1" t="s">
        <v>134</v>
      </c>
      <c r="E599" s="1" t="s">
        <v>579</v>
      </c>
      <c r="F599" s="1">
        <v>12</v>
      </c>
      <c r="G599" s="1" t="s">
        <v>277</v>
      </c>
      <c r="H599" s="8">
        <v>16</v>
      </c>
      <c r="J599" s="1" t="s">
        <v>619</v>
      </c>
      <c r="K599" s="1" t="s">
        <v>278</v>
      </c>
      <c r="O599" s="11">
        <v>93000000</v>
      </c>
      <c r="Q599" s="1" t="s">
        <v>35</v>
      </c>
      <c r="R599" s="1" t="s">
        <v>36</v>
      </c>
      <c r="W599" s="1" t="s">
        <v>42</v>
      </c>
      <c r="Y599" s="1" t="s">
        <v>37</v>
      </c>
      <c r="AA599" s="84" t="s">
        <v>626</v>
      </c>
      <c r="AB599" s="1" t="s">
        <v>627</v>
      </c>
      <c r="AC599" s="12" t="s">
        <v>52</v>
      </c>
      <c r="AD599" s="13">
        <v>0</v>
      </c>
      <c r="AE599" s="14" t="s">
        <v>53</v>
      </c>
      <c r="AG599" s="1">
        <v>6400000400</v>
      </c>
      <c r="AH599" s="1" t="s">
        <v>628</v>
      </c>
      <c r="AI599" s="17" t="s">
        <v>40</v>
      </c>
      <c r="AL599" s="1" t="str">
        <f t="shared" si="10"/>
        <v>"Belastingen en/of taksen","","","93000000","","unspsc","M","","","","","K","","A010","","9316B","6400000400","True",""</v>
      </c>
    </row>
    <row r="600" spans="1:45" x14ac:dyDescent="0.25">
      <c r="A600" s="1">
        <v>200</v>
      </c>
      <c r="C600" s="1" t="s">
        <v>134</v>
      </c>
      <c r="E600" s="1" t="s">
        <v>579</v>
      </c>
      <c r="F600" s="1">
        <v>12</v>
      </c>
      <c r="G600" s="1" t="s">
        <v>277</v>
      </c>
      <c r="H600" s="8">
        <v>16</v>
      </c>
      <c r="J600" s="1" t="s">
        <v>619</v>
      </c>
      <c r="K600" s="1" t="s">
        <v>278</v>
      </c>
      <c r="O600" s="11">
        <v>93000000</v>
      </c>
      <c r="Q600" s="1" t="s">
        <v>35</v>
      </c>
      <c r="R600" s="1" t="s">
        <v>36</v>
      </c>
      <c r="W600" s="1" t="s">
        <v>42</v>
      </c>
      <c r="Y600" s="1" t="s">
        <v>37</v>
      </c>
      <c r="AA600" s="84" t="s">
        <v>629</v>
      </c>
      <c r="AB600" s="1" t="s">
        <v>630</v>
      </c>
      <c r="AC600" s="12" t="s">
        <v>52</v>
      </c>
      <c r="AD600" s="13">
        <v>0</v>
      </c>
      <c r="AE600" s="14" t="s">
        <v>53</v>
      </c>
      <c r="AG600" s="1">
        <v>6400000500</v>
      </c>
      <c r="AH600" s="1" t="s">
        <v>631</v>
      </c>
      <c r="AI600" s="17" t="s">
        <v>40</v>
      </c>
      <c r="AL600" s="1" t="str">
        <f t="shared" si="10"/>
        <v>"Belastingen en/of taksen","","","93000000","","unspsc","M","","","","","K","","A010","","9316A","6400000500","True",""</v>
      </c>
    </row>
    <row r="601" spans="1:45" x14ac:dyDescent="0.25">
      <c r="A601" s="1">
        <v>200</v>
      </c>
      <c r="C601" s="1" t="s">
        <v>134</v>
      </c>
      <c r="E601" s="1" t="s">
        <v>579</v>
      </c>
      <c r="F601" s="1">
        <v>12</v>
      </c>
      <c r="G601" s="1" t="s">
        <v>277</v>
      </c>
      <c r="H601" s="8">
        <v>22</v>
      </c>
      <c r="J601" s="1" t="s">
        <v>632</v>
      </c>
      <c r="K601" s="1" t="s">
        <v>278</v>
      </c>
      <c r="O601" s="11">
        <v>93000000</v>
      </c>
      <c r="Q601" s="1" t="s">
        <v>35</v>
      </c>
      <c r="R601" s="1" t="s">
        <v>36</v>
      </c>
      <c r="W601" s="1" t="s">
        <v>42</v>
      </c>
      <c r="Y601" s="1" t="s">
        <v>37</v>
      </c>
      <c r="AA601" s="84" t="s">
        <v>633</v>
      </c>
      <c r="AB601" s="1" t="s">
        <v>634</v>
      </c>
      <c r="AC601" s="12" t="s">
        <v>52</v>
      </c>
      <c r="AD601" s="13">
        <v>0</v>
      </c>
      <c r="AE601" s="14" t="s">
        <v>53</v>
      </c>
      <c r="AG601" s="1">
        <v>4891000100</v>
      </c>
      <c r="AH601" s="1" t="s">
        <v>635</v>
      </c>
      <c r="AI601" s="17" t="s">
        <v>40</v>
      </c>
      <c r="AL601" s="1" t="str">
        <f t="shared" si="10"/>
        <v>"Sociaal Fonds Diesterweg","","","93000000","","unspsc","M","","","","","K","","A010","","9316E","4891000100","True",""</v>
      </c>
    </row>
    <row r="602" spans="1:45" x14ac:dyDescent="0.25">
      <c r="A602" s="1">
        <v>200</v>
      </c>
      <c r="C602" s="1" t="s">
        <v>62</v>
      </c>
      <c r="E602" s="1" t="s">
        <v>579</v>
      </c>
      <c r="F602" s="1">
        <v>12</v>
      </c>
      <c r="G602" s="1" t="s">
        <v>277</v>
      </c>
      <c r="H602" s="8">
        <v>17</v>
      </c>
      <c r="J602" s="1" t="s">
        <v>41</v>
      </c>
      <c r="K602" s="1" t="s">
        <v>278</v>
      </c>
      <c r="O602" s="11">
        <v>94000000</v>
      </c>
      <c r="Q602" s="1" t="s">
        <v>35</v>
      </c>
      <c r="R602" s="1" t="s">
        <v>36</v>
      </c>
      <c r="W602" s="1" t="s">
        <v>42</v>
      </c>
      <c r="Y602" s="1" t="s">
        <v>37</v>
      </c>
      <c r="AA602" s="84">
        <v>9410</v>
      </c>
      <c r="AB602" s="1" t="s">
        <v>636</v>
      </c>
      <c r="AC602" s="12" t="s">
        <v>138</v>
      </c>
      <c r="AD602" s="13">
        <v>0.06</v>
      </c>
      <c r="AE602" s="14" t="s">
        <v>53</v>
      </c>
      <c r="AG602" s="1">
        <v>6146000200</v>
      </c>
      <c r="AH602" s="1" t="s">
        <v>637</v>
      </c>
      <c r="AI602" s="17" t="s">
        <v>40</v>
      </c>
      <c r="AL602" s="1" t="str">
        <f t="shared" si="10"/>
        <v>"Operationele werking","","","94000000","","unspsc","M","","","","","K","","A010","","9410","6146000200","True",""</v>
      </c>
    </row>
    <row r="603" spans="1:45" x14ac:dyDescent="0.25">
      <c r="A603" s="1">
        <v>200</v>
      </c>
      <c r="B603" s="21"/>
      <c r="C603" s="21" t="s">
        <v>62</v>
      </c>
      <c r="D603" s="21"/>
      <c r="E603" s="21" t="s">
        <v>579</v>
      </c>
      <c r="F603" s="21">
        <v>12</v>
      </c>
      <c r="G603" s="21" t="s">
        <v>277</v>
      </c>
      <c r="H603" s="8">
        <v>17</v>
      </c>
      <c r="I603" s="22"/>
      <c r="J603" s="21" t="s">
        <v>41</v>
      </c>
      <c r="K603" s="21" t="s">
        <v>278</v>
      </c>
      <c r="L603" s="21"/>
      <c r="M603" s="21"/>
      <c r="N603" s="21"/>
      <c r="O603" s="23">
        <v>78000000</v>
      </c>
      <c r="P603" s="21"/>
      <c r="Q603" s="21" t="s">
        <v>35</v>
      </c>
      <c r="R603" s="21" t="s">
        <v>36</v>
      </c>
      <c r="S603" s="21"/>
      <c r="T603" s="21"/>
      <c r="U603" s="21"/>
      <c r="V603" s="21"/>
      <c r="W603" s="21" t="s">
        <v>42</v>
      </c>
      <c r="X603" s="21"/>
      <c r="Y603" s="21" t="s">
        <v>37</v>
      </c>
      <c r="Z603" s="21"/>
      <c r="AA603" s="87" t="s">
        <v>638</v>
      </c>
      <c r="AB603" s="21" t="s">
        <v>639</v>
      </c>
      <c r="AC603" s="25" t="s">
        <v>52</v>
      </c>
      <c r="AD603" s="26">
        <v>0</v>
      </c>
      <c r="AE603" s="27" t="s">
        <v>39</v>
      </c>
      <c r="AF603" s="28"/>
      <c r="AG603" s="21">
        <v>6230000100</v>
      </c>
      <c r="AH603" s="21" t="s">
        <v>640</v>
      </c>
      <c r="AI603" s="85" t="s">
        <v>40</v>
      </c>
      <c r="AJ603" s="21"/>
      <c r="AK603" s="21"/>
      <c r="AL603" s="1" t="str">
        <f t="shared" si="10"/>
        <v>"Operationele werking","","","78000000","","unspsc","M","","","","","K","","A010","","7811N","6230000100","True",""</v>
      </c>
      <c r="AM603" s="21"/>
      <c r="AN603" s="21"/>
      <c r="AO603" s="21"/>
      <c r="AP603" s="21"/>
      <c r="AQ603" s="21"/>
      <c r="AR603" s="21"/>
      <c r="AS603" s="21"/>
    </row>
    <row r="604" spans="1:45" x14ac:dyDescent="0.25">
      <c r="A604" s="1">
        <v>200</v>
      </c>
      <c r="C604" s="1" t="s">
        <v>62</v>
      </c>
      <c r="E604" s="1" t="s">
        <v>49</v>
      </c>
      <c r="F604" s="1">
        <v>13</v>
      </c>
      <c r="G604" s="1" t="s">
        <v>50</v>
      </c>
      <c r="H604" s="8">
        <v>8</v>
      </c>
      <c r="J604" s="1" t="s">
        <v>263</v>
      </c>
      <c r="K604" s="1" t="s">
        <v>641</v>
      </c>
      <c r="O604" s="11">
        <v>80000000</v>
      </c>
      <c r="Q604" s="1" t="s">
        <v>35</v>
      </c>
      <c r="R604" s="1" t="s">
        <v>36</v>
      </c>
      <c r="W604" s="1" t="s">
        <v>42</v>
      </c>
      <c r="Y604" s="1" t="s">
        <v>37</v>
      </c>
      <c r="AA604" s="84">
        <v>8010</v>
      </c>
      <c r="AB604" s="1" t="s">
        <v>263</v>
      </c>
      <c r="AC604" s="12" t="s">
        <v>52</v>
      </c>
      <c r="AD604" s="13">
        <v>0</v>
      </c>
      <c r="AE604" s="14" t="s">
        <v>53</v>
      </c>
      <c r="AG604" s="1">
        <v>6161000300</v>
      </c>
      <c r="AH604" s="1" t="s">
        <v>263</v>
      </c>
      <c r="AI604" s="17" t="s">
        <v>40</v>
      </c>
      <c r="AL604" s="1" t="str">
        <f t="shared" si="10"/>
        <v>"Projectwerking","","","80000000","","unspsc","M","","","","","K","","A010","","8010","6161000300","True",""</v>
      </c>
    </row>
    <row r="605" spans="1:45" x14ac:dyDescent="0.25">
      <c r="A605" s="1">
        <v>200</v>
      </c>
      <c r="C605" s="1" t="s">
        <v>62</v>
      </c>
      <c r="E605" s="1" t="s">
        <v>49</v>
      </c>
      <c r="F605" s="1">
        <v>13</v>
      </c>
      <c r="G605" s="1" t="s">
        <v>50</v>
      </c>
      <c r="H605" s="8">
        <v>8</v>
      </c>
      <c r="J605" s="1" t="s">
        <v>263</v>
      </c>
      <c r="K605" s="1" t="s">
        <v>641</v>
      </c>
      <c r="O605" s="11">
        <v>80000000</v>
      </c>
      <c r="Q605" s="1" t="s">
        <v>35</v>
      </c>
      <c r="R605" s="1" t="s">
        <v>36</v>
      </c>
      <c r="W605" s="1" t="s">
        <v>42</v>
      </c>
      <c r="Y605" s="1" t="s">
        <v>37</v>
      </c>
      <c r="AA605" s="84" t="s">
        <v>642</v>
      </c>
      <c r="AB605" s="1" t="s">
        <v>643</v>
      </c>
      <c r="AC605" s="12" t="s">
        <v>52</v>
      </c>
      <c r="AD605" s="13">
        <v>0</v>
      </c>
      <c r="AE605" s="14" t="s">
        <v>53</v>
      </c>
      <c r="AG605" s="1">
        <v>6161000300</v>
      </c>
      <c r="AH605" s="1" t="s">
        <v>263</v>
      </c>
      <c r="AI605" s="17" t="s">
        <v>40</v>
      </c>
      <c r="AL605" s="1" t="str">
        <f t="shared" si="10"/>
        <v>"Projectwerking","","","80000000","","unspsc","M","","","","","K","","A010","","8010X","6161000300","True",""</v>
      </c>
    </row>
    <row r="606" spans="1:45" x14ac:dyDescent="0.25">
      <c r="A606" s="1">
        <v>200</v>
      </c>
      <c r="C606" s="1" t="s">
        <v>48</v>
      </c>
      <c r="E606" s="1" t="s">
        <v>49</v>
      </c>
      <c r="F606" s="1">
        <v>13</v>
      </c>
      <c r="G606" s="1" t="s">
        <v>50</v>
      </c>
      <c r="H606" s="8">
        <v>17</v>
      </c>
      <c r="J606" s="1" t="s">
        <v>41</v>
      </c>
      <c r="K606" s="1" t="s">
        <v>644</v>
      </c>
      <c r="O606" s="11">
        <v>80000000</v>
      </c>
      <c r="Q606" s="1" t="s">
        <v>35</v>
      </c>
      <c r="R606" s="1" t="s">
        <v>36</v>
      </c>
      <c r="W606" s="1" t="s">
        <v>42</v>
      </c>
      <c r="Y606" s="1" t="s">
        <v>37</v>
      </c>
      <c r="AA606" s="84">
        <v>801099</v>
      </c>
      <c r="AB606" s="1" t="s">
        <v>644</v>
      </c>
      <c r="AC606" s="12" t="s">
        <v>52</v>
      </c>
      <c r="AD606" s="13">
        <v>0</v>
      </c>
      <c r="AE606" s="14" t="s">
        <v>53</v>
      </c>
      <c r="AG606" s="1">
        <v>6430000800</v>
      </c>
      <c r="AH606" s="1" t="s">
        <v>644</v>
      </c>
      <c r="AI606" s="17" t="s">
        <v>40</v>
      </c>
      <c r="AL606" s="1" t="str">
        <f t="shared" si="10"/>
        <v>"Operationele werking","","","80000000","","unspsc","M","","","","","K","","A010","","801099","6430000800","True",""</v>
      </c>
    </row>
    <row r="607" spans="1:45" x14ac:dyDescent="0.25">
      <c r="A607" s="1">
        <v>200</v>
      </c>
      <c r="C607" s="1" t="s">
        <v>48</v>
      </c>
      <c r="E607" s="1" t="s">
        <v>49</v>
      </c>
      <c r="F607" s="1">
        <v>13</v>
      </c>
      <c r="G607" s="1" t="s">
        <v>50</v>
      </c>
      <c r="H607" s="8">
        <v>17</v>
      </c>
      <c r="J607" s="1" t="s">
        <v>41</v>
      </c>
      <c r="O607" s="11">
        <v>80000000</v>
      </c>
      <c r="Q607" s="1" t="s">
        <v>35</v>
      </c>
      <c r="R607" s="1" t="s">
        <v>36</v>
      </c>
      <c r="W607" s="1" t="s">
        <v>42</v>
      </c>
      <c r="Y607" s="1" t="s">
        <v>37</v>
      </c>
      <c r="AA607" s="84" t="s">
        <v>645</v>
      </c>
      <c r="AB607" s="1" t="s">
        <v>646</v>
      </c>
      <c r="AC607" s="12" t="s">
        <v>138</v>
      </c>
      <c r="AD607" s="13">
        <v>0.06</v>
      </c>
      <c r="AE607" s="14" t="s">
        <v>53</v>
      </c>
      <c r="AG607" s="1">
        <v>6430000800</v>
      </c>
      <c r="AH607" s="1" t="s">
        <v>644</v>
      </c>
      <c r="AI607" s="17" t="s">
        <v>40</v>
      </c>
      <c r="AL607" s="1" t="str">
        <f t="shared" si="10"/>
        <v>"Operationele werking","","","80000000","","unspsc","M","","","","","K","","A010","","801099X","6430000800","True",""</v>
      </c>
    </row>
    <row r="608" spans="1:45" x14ac:dyDescent="0.25">
      <c r="A608" s="1">
        <v>200</v>
      </c>
      <c r="C608" s="1" t="s">
        <v>48</v>
      </c>
      <c r="E608" s="1" t="s">
        <v>49</v>
      </c>
      <c r="F608" s="1">
        <v>13</v>
      </c>
      <c r="G608" s="1" t="s">
        <v>50</v>
      </c>
      <c r="H608" s="8">
        <v>15</v>
      </c>
      <c r="J608" s="1" t="s">
        <v>51</v>
      </c>
      <c r="K608" s="1" t="s">
        <v>51</v>
      </c>
      <c r="O608" s="11">
        <v>84000000</v>
      </c>
      <c r="Q608" s="1" t="s">
        <v>35</v>
      </c>
      <c r="R608" s="1" t="s">
        <v>36</v>
      </c>
      <c r="W608" s="1" t="s">
        <v>42</v>
      </c>
      <c r="Y608" s="1" t="s">
        <v>37</v>
      </c>
      <c r="AA608" s="84">
        <v>84121606</v>
      </c>
      <c r="AB608" s="1" t="s">
        <v>51</v>
      </c>
      <c r="AC608" s="12" t="s">
        <v>52</v>
      </c>
      <c r="AD608" s="13">
        <v>0</v>
      </c>
      <c r="AE608" s="14" t="s">
        <v>53</v>
      </c>
      <c r="AG608" s="1">
        <v>4991000100</v>
      </c>
      <c r="AH608" s="1" t="s">
        <v>54</v>
      </c>
      <c r="AI608" s="17" t="s">
        <v>40</v>
      </c>
      <c r="AL608" s="1" t="str">
        <f t="shared" si="10"/>
        <v>"Doorrekening binnen AG SO","","","84000000","","unspsc","M","","","","","K","","A010","","84121606","4991000100","True",""</v>
      </c>
    </row>
    <row r="609" spans="1:45" x14ac:dyDescent="0.25">
      <c r="A609" s="1">
        <v>200</v>
      </c>
      <c r="C609" s="1" t="s">
        <v>31</v>
      </c>
      <c r="E609" s="1" t="s">
        <v>86</v>
      </c>
      <c r="F609" s="1">
        <v>14</v>
      </c>
      <c r="G609" s="1" t="s">
        <v>73</v>
      </c>
      <c r="H609" s="8">
        <v>17</v>
      </c>
      <c r="J609" s="1" t="s">
        <v>41</v>
      </c>
      <c r="O609" s="11">
        <v>15000000</v>
      </c>
      <c r="Q609" s="1" t="s">
        <v>35</v>
      </c>
      <c r="R609" s="1" t="s">
        <v>36</v>
      </c>
      <c r="W609" s="1" t="s">
        <v>42</v>
      </c>
      <c r="Y609" s="1" t="s">
        <v>37</v>
      </c>
      <c r="AA609" s="84">
        <v>1510</v>
      </c>
      <c r="AB609" s="1" t="s">
        <v>481</v>
      </c>
      <c r="AC609" s="12" t="s">
        <v>65</v>
      </c>
      <c r="AD609" s="13">
        <v>0.21</v>
      </c>
      <c r="AE609" s="14" t="s">
        <v>39</v>
      </c>
      <c r="AG609" s="1">
        <v>6142100200</v>
      </c>
      <c r="AH609" s="1" t="s">
        <v>482</v>
      </c>
      <c r="AI609" s="17" t="s">
        <v>40</v>
      </c>
      <c r="AL609" s="1" t="str">
        <f t="shared" si="10"/>
        <v>"Operationele werking","","","15000000","","unspsc","M","","","","","K","","A010","","1510","6142100200","True",""</v>
      </c>
    </row>
    <row r="610" spans="1:45" x14ac:dyDescent="0.25">
      <c r="A610" s="1">
        <v>200</v>
      </c>
      <c r="C610" s="1" t="s">
        <v>62</v>
      </c>
      <c r="D610" s="1" t="s">
        <v>80</v>
      </c>
      <c r="E610" s="1" t="s">
        <v>86</v>
      </c>
      <c r="F610" s="1">
        <v>14</v>
      </c>
      <c r="G610" s="1" t="s">
        <v>73</v>
      </c>
      <c r="H610" s="8">
        <v>9</v>
      </c>
      <c r="J610" s="1" t="s">
        <v>59</v>
      </c>
      <c r="O610" s="11">
        <v>24000000</v>
      </c>
      <c r="Q610" s="1" t="s">
        <v>35</v>
      </c>
      <c r="R610" s="1" t="s">
        <v>36</v>
      </c>
      <c r="W610" s="1" t="s">
        <v>60</v>
      </c>
      <c r="Y610" s="1" t="s">
        <v>37</v>
      </c>
      <c r="AA610" s="84">
        <v>2410</v>
      </c>
      <c r="AB610" s="1" t="s">
        <v>465</v>
      </c>
      <c r="AC610" s="12" t="s">
        <v>65</v>
      </c>
      <c r="AD610" s="13">
        <v>0.21</v>
      </c>
      <c r="AE610" s="14" t="s">
        <v>39</v>
      </c>
      <c r="AG610" s="1">
        <v>2301000000</v>
      </c>
      <c r="AH610" s="1" t="s">
        <v>76</v>
      </c>
      <c r="AI610" s="17" t="s">
        <v>40</v>
      </c>
      <c r="AL610" s="1" t="str">
        <f t="shared" si="10"/>
        <v>"Investering","","","24000000","","unspsc","M","","","","","A","","A010","","2410","2301000000","True",""</v>
      </c>
    </row>
    <row r="611" spans="1:45" x14ac:dyDescent="0.25">
      <c r="A611" s="1">
        <v>200</v>
      </c>
      <c r="C611" s="1" t="s">
        <v>31</v>
      </c>
      <c r="F611" s="1">
        <v>14</v>
      </c>
      <c r="G611" s="1" t="s">
        <v>73</v>
      </c>
      <c r="H611" s="8">
        <v>9</v>
      </c>
      <c r="J611" s="1" t="s">
        <v>59</v>
      </c>
      <c r="O611" s="11">
        <v>25000000</v>
      </c>
      <c r="Q611" s="1" t="s">
        <v>35</v>
      </c>
      <c r="R611" s="1" t="s">
        <v>36</v>
      </c>
      <c r="W611" s="1" t="s">
        <v>60</v>
      </c>
      <c r="Y611" s="1" t="s">
        <v>37</v>
      </c>
      <c r="AA611" s="84">
        <v>2510</v>
      </c>
      <c r="AB611" s="1" t="s">
        <v>647</v>
      </c>
      <c r="AC611" s="12" t="s">
        <v>65</v>
      </c>
      <c r="AD611" s="13">
        <v>0.21</v>
      </c>
      <c r="AE611" s="14" t="s">
        <v>39</v>
      </c>
      <c r="AF611" s="15"/>
      <c r="AG611" s="1">
        <v>2410000000</v>
      </c>
      <c r="AH611" s="1" t="s">
        <v>72</v>
      </c>
      <c r="AI611" s="17" t="s">
        <v>40</v>
      </c>
      <c r="AL611" s="1" t="str">
        <f t="shared" si="10"/>
        <v>"Investering","","","25000000","","unspsc","M","","","","","A","","A010","","2510","2410000000","True",""</v>
      </c>
    </row>
    <row r="612" spans="1:45" x14ac:dyDescent="0.25">
      <c r="A612" s="1">
        <v>200</v>
      </c>
      <c r="C612" s="1" t="s">
        <v>31</v>
      </c>
      <c r="F612" s="1">
        <v>14</v>
      </c>
      <c r="G612" s="1" t="s">
        <v>73</v>
      </c>
      <c r="H612" s="8">
        <v>17</v>
      </c>
      <c r="J612" s="1" t="s">
        <v>41</v>
      </c>
      <c r="O612" s="11">
        <v>25000000</v>
      </c>
      <c r="Q612" s="1" t="s">
        <v>35</v>
      </c>
      <c r="R612" s="1" t="s">
        <v>36</v>
      </c>
      <c r="W612" s="1" t="s">
        <v>42</v>
      </c>
      <c r="Y612" s="1" t="s">
        <v>37</v>
      </c>
      <c r="AA612" s="84">
        <v>2516</v>
      </c>
      <c r="AB612" s="1" t="s">
        <v>484</v>
      </c>
      <c r="AC612" s="12" t="s">
        <v>65</v>
      </c>
      <c r="AD612" s="13">
        <v>0.21</v>
      </c>
      <c r="AE612" s="14" t="s">
        <v>39</v>
      </c>
      <c r="AF612" s="15"/>
      <c r="AG612" s="1">
        <v>6142000200</v>
      </c>
      <c r="AH612" s="1" t="s">
        <v>485</v>
      </c>
      <c r="AI612" s="17" t="s">
        <v>40</v>
      </c>
      <c r="AL612" s="1" t="str">
        <f t="shared" si="10"/>
        <v>"Operationele werking","","","25000000","","unspsc","M","","","","","K","","A010","","2516","6142000200","True",""</v>
      </c>
    </row>
    <row r="613" spans="1:45" x14ac:dyDescent="0.25">
      <c r="A613" s="1">
        <v>200</v>
      </c>
      <c r="C613" s="1" t="s">
        <v>31</v>
      </c>
      <c r="E613" s="1" t="s">
        <v>86</v>
      </c>
      <c r="F613" s="1">
        <v>14</v>
      </c>
      <c r="G613" s="1" t="s">
        <v>73</v>
      </c>
      <c r="H613" s="8">
        <v>17</v>
      </c>
      <c r="J613" s="1" t="s">
        <v>41</v>
      </c>
      <c r="O613" s="11">
        <v>30000000</v>
      </c>
      <c r="Q613" s="1" t="s">
        <v>35</v>
      </c>
      <c r="R613" s="1" t="s">
        <v>36</v>
      </c>
      <c r="W613" s="1" t="s">
        <v>42</v>
      </c>
      <c r="Y613" s="1" t="s">
        <v>37</v>
      </c>
      <c r="AA613" s="84">
        <v>301017</v>
      </c>
      <c r="AB613" s="1" t="s">
        <v>648</v>
      </c>
      <c r="AC613" s="12" t="s">
        <v>65</v>
      </c>
      <c r="AD613" s="13">
        <v>0.21</v>
      </c>
      <c r="AE613" s="14" t="s">
        <v>39</v>
      </c>
      <c r="AG613" s="1">
        <v>6141100100</v>
      </c>
      <c r="AH613" s="1" t="s">
        <v>66</v>
      </c>
      <c r="AI613" s="17" t="s">
        <v>40</v>
      </c>
      <c r="AL613" s="1" t="str">
        <f t="shared" si="10"/>
        <v>"Operationele werking","","","30000000","","unspsc","M","","","","","K","","A010","","301017","6141100100","True",""</v>
      </c>
    </row>
    <row r="614" spans="1:45" x14ac:dyDescent="0.25">
      <c r="A614" s="1">
        <v>200</v>
      </c>
      <c r="C614" s="1" t="s">
        <v>31</v>
      </c>
      <c r="E614" s="1" t="s">
        <v>86</v>
      </c>
      <c r="F614" s="1">
        <v>14</v>
      </c>
      <c r="G614" s="1" t="s">
        <v>73</v>
      </c>
      <c r="H614" s="8">
        <v>17</v>
      </c>
      <c r="J614" s="1" t="s">
        <v>41</v>
      </c>
      <c r="O614" s="11">
        <v>30000000</v>
      </c>
      <c r="Q614" s="1" t="s">
        <v>35</v>
      </c>
      <c r="R614" s="1" t="s">
        <v>36</v>
      </c>
      <c r="W614" s="1" t="s">
        <v>42</v>
      </c>
      <c r="Y614" s="1" t="s">
        <v>37</v>
      </c>
      <c r="AA614" s="84">
        <v>3010</v>
      </c>
      <c r="AB614" s="1" t="s">
        <v>649</v>
      </c>
      <c r="AC614" s="12" t="s">
        <v>65</v>
      </c>
      <c r="AD614" s="13">
        <v>0.21</v>
      </c>
      <c r="AE614" s="14" t="s">
        <v>39</v>
      </c>
      <c r="AG614" s="1">
        <v>6141100100</v>
      </c>
      <c r="AH614" s="1" t="s">
        <v>66</v>
      </c>
      <c r="AI614" s="17" t="s">
        <v>40</v>
      </c>
      <c r="AL614" s="1" t="str">
        <f t="shared" si="10"/>
        <v>"Operationele werking","","","30000000","","unspsc","M","","","","","K","","A010","","3010","6141100100","True",""</v>
      </c>
    </row>
    <row r="615" spans="1:45" x14ac:dyDescent="0.25">
      <c r="A615" s="1">
        <v>200</v>
      </c>
      <c r="C615" s="1" t="s">
        <v>31</v>
      </c>
      <c r="E615" s="1" t="s">
        <v>86</v>
      </c>
      <c r="F615" s="1">
        <v>14</v>
      </c>
      <c r="G615" s="1" t="s">
        <v>73</v>
      </c>
      <c r="H615" s="8">
        <v>17</v>
      </c>
      <c r="J615" s="1" t="s">
        <v>41</v>
      </c>
      <c r="O615" s="11">
        <v>31000000</v>
      </c>
      <c r="Q615" s="1" t="s">
        <v>35</v>
      </c>
      <c r="R615" s="1" t="s">
        <v>36</v>
      </c>
      <c r="W615" s="1" t="s">
        <v>42</v>
      </c>
      <c r="Y615" s="1" t="s">
        <v>37</v>
      </c>
      <c r="AA615" s="84">
        <v>3121</v>
      </c>
      <c r="AB615" s="1" t="s">
        <v>650</v>
      </c>
      <c r="AC615" s="12" t="s">
        <v>65</v>
      </c>
      <c r="AD615" s="13">
        <v>0.21</v>
      </c>
      <c r="AE615" s="14" t="s">
        <v>39</v>
      </c>
      <c r="AG615" s="1">
        <v>6141100100</v>
      </c>
      <c r="AH615" s="1" t="s">
        <v>66</v>
      </c>
      <c r="AI615" s="17" t="s">
        <v>40</v>
      </c>
      <c r="AL615" s="1" t="str">
        <f t="shared" si="10"/>
        <v>"Operationele werking","","","31000000","","unspsc","M","","","","","K","","A010","","3121","6141100100","True",""</v>
      </c>
    </row>
    <row r="616" spans="1:45" x14ac:dyDescent="0.25">
      <c r="A616" s="1">
        <v>200</v>
      </c>
      <c r="B616" s="1" t="s">
        <v>89</v>
      </c>
      <c r="C616" s="1" t="s">
        <v>31</v>
      </c>
      <c r="F616" s="1">
        <v>14</v>
      </c>
      <c r="G616" s="1" t="s">
        <v>73</v>
      </c>
      <c r="H616" s="8">
        <v>17</v>
      </c>
      <c r="J616" s="1" t="s">
        <v>41</v>
      </c>
      <c r="O616" s="11">
        <v>40000000</v>
      </c>
      <c r="Q616" s="1" t="s">
        <v>35</v>
      </c>
      <c r="R616" s="1" t="s">
        <v>36</v>
      </c>
      <c r="W616" s="1" t="s">
        <v>42</v>
      </c>
      <c r="Y616" s="1" t="s">
        <v>37</v>
      </c>
      <c r="AA616" s="84">
        <v>4015</v>
      </c>
      <c r="AB616" s="1" t="s">
        <v>651</v>
      </c>
      <c r="AC616" s="12" t="s">
        <v>91</v>
      </c>
      <c r="AD616" s="13">
        <v>0.21</v>
      </c>
      <c r="AE616" s="14" t="s">
        <v>53</v>
      </c>
      <c r="AF616" s="15"/>
      <c r="AG616" s="1">
        <v>6141000100</v>
      </c>
      <c r="AH616" s="1" t="s">
        <v>92</v>
      </c>
      <c r="AI616" s="17" t="s">
        <v>40</v>
      </c>
      <c r="AL616" s="1" t="str">
        <f t="shared" si="10"/>
        <v>"Operationele werking","","","40000000","","unspsc","M","","","","","K","","A010","","4015","6141000100","True",""</v>
      </c>
    </row>
    <row r="617" spans="1:45" x14ac:dyDescent="0.25">
      <c r="A617" s="1">
        <v>200</v>
      </c>
      <c r="C617" s="1" t="s">
        <v>134</v>
      </c>
      <c r="D617" s="1" t="s">
        <v>67</v>
      </c>
      <c r="E617" s="1" t="s">
        <v>86</v>
      </c>
      <c r="F617" s="1">
        <v>14</v>
      </c>
      <c r="G617" s="1" t="s">
        <v>73</v>
      </c>
      <c r="H617" s="8">
        <v>9</v>
      </c>
      <c r="J617" s="1" t="s">
        <v>59</v>
      </c>
      <c r="O617" s="11">
        <v>43000000</v>
      </c>
      <c r="Q617" s="1" t="s">
        <v>35</v>
      </c>
      <c r="R617" s="1" t="s">
        <v>36</v>
      </c>
      <c r="W617" s="1" t="s">
        <v>60</v>
      </c>
      <c r="Y617" s="1" t="s">
        <v>37</v>
      </c>
      <c r="AA617" s="84">
        <v>432337</v>
      </c>
      <c r="AB617" s="1" t="s">
        <v>652</v>
      </c>
      <c r="AC617" s="12" t="s">
        <v>91</v>
      </c>
      <c r="AD617" s="13">
        <v>0.21</v>
      </c>
      <c r="AE617" s="14" t="s">
        <v>53</v>
      </c>
      <c r="AG617" s="1">
        <v>2110000000</v>
      </c>
      <c r="AH617" s="1" t="s">
        <v>100</v>
      </c>
      <c r="AI617" s="17" t="s">
        <v>40</v>
      </c>
      <c r="AL617" s="1" t="str">
        <f t="shared" si="10"/>
        <v>"Investering","","","43000000","","unspsc","M","","","","","A","","A010","","432337","2110000000","True",""</v>
      </c>
    </row>
    <row r="618" spans="1:45" x14ac:dyDescent="0.25">
      <c r="A618" s="1">
        <v>200</v>
      </c>
      <c r="C618" s="1" t="s">
        <v>31</v>
      </c>
      <c r="E618" s="1" t="s">
        <v>86</v>
      </c>
      <c r="F618" s="1">
        <v>14</v>
      </c>
      <c r="G618" s="1" t="s">
        <v>73</v>
      </c>
      <c r="H618" s="8">
        <v>17</v>
      </c>
      <c r="J618" s="1" t="s">
        <v>41</v>
      </c>
      <c r="O618" s="11">
        <v>46000000</v>
      </c>
      <c r="Q618" s="1" t="s">
        <v>35</v>
      </c>
      <c r="R618" s="1" t="s">
        <v>36</v>
      </c>
      <c r="W618" s="1" t="s">
        <v>42</v>
      </c>
      <c r="Y618" s="1" t="s">
        <v>37</v>
      </c>
      <c r="AA618" s="84" t="s">
        <v>653</v>
      </c>
      <c r="AB618" s="1" t="s">
        <v>654</v>
      </c>
      <c r="AC618" s="12" t="s">
        <v>65</v>
      </c>
      <c r="AD618" s="13">
        <v>0.21</v>
      </c>
      <c r="AE618" s="14" t="s">
        <v>39</v>
      </c>
      <c r="AG618" s="1">
        <v>6152000600</v>
      </c>
      <c r="AH618" s="1" t="s">
        <v>118</v>
      </c>
      <c r="AI618" s="17" t="s">
        <v>40</v>
      </c>
      <c r="AL618" s="1" t="str">
        <f t="shared" si="10"/>
        <v>"Operationele werking","","","46000000","","unspsc","M","","","","","K","","A010","","4618A","6152000600","True",""</v>
      </c>
    </row>
    <row r="619" spans="1:45" x14ac:dyDescent="0.25">
      <c r="A619" s="1">
        <v>200</v>
      </c>
      <c r="B619" s="1" t="s">
        <v>145</v>
      </c>
      <c r="C619" s="1" t="s">
        <v>134</v>
      </c>
      <c r="E619" s="1" t="s">
        <v>86</v>
      </c>
      <c r="F619" s="1">
        <v>14</v>
      </c>
      <c r="G619" s="1" t="s">
        <v>73</v>
      </c>
      <c r="H619" s="8">
        <v>17</v>
      </c>
      <c r="J619" s="1" t="s">
        <v>41</v>
      </c>
      <c r="O619" s="11">
        <v>71000000</v>
      </c>
      <c r="Q619" s="1" t="s">
        <v>35</v>
      </c>
      <c r="R619" s="1" t="s">
        <v>36</v>
      </c>
      <c r="W619" s="1" t="s">
        <v>42</v>
      </c>
      <c r="Y619" s="1" t="s">
        <v>37</v>
      </c>
      <c r="AA619" s="84">
        <v>71131103</v>
      </c>
      <c r="AB619" s="1" t="s">
        <v>655</v>
      </c>
      <c r="AC619" s="12" t="s">
        <v>91</v>
      </c>
      <c r="AD619" s="13">
        <v>0.21</v>
      </c>
      <c r="AE619" s="14" t="s">
        <v>53</v>
      </c>
      <c r="AG619" s="1">
        <v>6103000400</v>
      </c>
      <c r="AH619" s="1" t="s">
        <v>656</v>
      </c>
      <c r="AI619" s="17" t="s">
        <v>40</v>
      </c>
      <c r="AL619" s="1" t="str">
        <f t="shared" si="10"/>
        <v>"Operationele werking","","","71000000","","unspsc","M","","","","","K","","A010","","71131103","6103000400","True",""</v>
      </c>
    </row>
    <row r="620" spans="1:45" x14ac:dyDescent="0.25">
      <c r="A620" s="1">
        <v>200</v>
      </c>
      <c r="C620" s="1" t="s">
        <v>31</v>
      </c>
      <c r="E620" s="1" t="s">
        <v>86</v>
      </c>
      <c r="F620" s="1">
        <v>14</v>
      </c>
      <c r="G620" s="1" t="s">
        <v>73</v>
      </c>
      <c r="H620" s="8">
        <v>17</v>
      </c>
      <c r="J620" s="1" t="s">
        <v>41</v>
      </c>
      <c r="O620" s="11">
        <v>72000000</v>
      </c>
      <c r="Q620" s="1" t="s">
        <v>35</v>
      </c>
      <c r="R620" s="1" t="s">
        <v>36</v>
      </c>
      <c r="W620" s="1" t="s">
        <v>42</v>
      </c>
      <c r="Y620" s="1" t="s">
        <v>37</v>
      </c>
      <c r="AA620" s="84">
        <v>7210</v>
      </c>
      <c r="AB620" s="1" t="s">
        <v>657</v>
      </c>
      <c r="AC620" s="12" t="s">
        <v>65</v>
      </c>
      <c r="AD620" s="13">
        <v>0.21</v>
      </c>
      <c r="AE620" s="14" t="s">
        <v>53</v>
      </c>
      <c r="AG620" s="1">
        <v>6103000300</v>
      </c>
      <c r="AH620" s="1" t="s">
        <v>658</v>
      </c>
      <c r="AI620" s="17" t="s">
        <v>40</v>
      </c>
      <c r="AL620" s="1" t="str">
        <f t="shared" si="10"/>
        <v>"Operationele werking","","","72000000","","unspsc","M","","","","","K","","A010","","7210","6103000300","True",""</v>
      </c>
      <c r="AM620" s="2"/>
      <c r="AN620" s="2"/>
      <c r="AO620" s="2"/>
      <c r="AP620" s="2"/>
      <c r="AQ620" s="2"/>
      <c r="AR620" s="2"/>
      <c r="AS620" s="2"/>
    </row>
    <row r="621" spans="1:45" x14ac:dyDescent="0.25">
      <c r="A621" s="1">
        <v>200</v>
      </c>
      <c r="B621" s="21"/>
      <c r="C621" s="21" t="s">
        <v>31</v>
      </c>
      <c r="D621" s="21"/>
      <c r="E621" s="21" t="s">
        <v>86</v>
      </c>
      <c r="F621" s="21">
        <v>14</v>
      </c>
      <c r="G621" s="21" t="s">
        <v>73</v>
      </c>
      <c r="H621" s="8">
        <v>17</v>
      </c>
      <c r="I621" s="22"/>
      <c r="J621" s="21" t="s">
        <v>41</v>
      </c>
      <c r="K621" s="21"/>
      <c r="L621" s="21"/>
      <c r="M621" s="21"/>
      <c r="N621" s="21"/>
      <c r="O621" s="23">
        <v>72000000</v>
      </c>
      <c r="P621" s="21"/>
      <c r="Q621" s="21" t="s">
        <v>35</v>
      </c>
      <c r="R621" s="21" t="s">
        <v>36</v>
      </c>
      <c r="S621" s="21"/>
      <c r="T621" s="21"/>
      <c r="U621" s="21"/>
      <c r="V621" s="21"/>
      <c r="W621" s="21" t="s">
        <v>42</v>
      </c>
      <c r="X621" s="21"/>
      <c r="Y621" s="21" t="s">
        <v>37</v>
      </c>
      <c r="Z621" s="21"/>
      <c r="AA621" s="34">
        <v>721015</v>
      </c>
      <c r="AB621" s="21" t="s">
        <v>657</v>
      </c>
      <c r="AC621" s="34" t="s">
        <v>38</v>
      </c>
      <c r="AD621" s="35">
        <v>0.06</v>
      </c>
      <c r="AE621" s="27" t="s">
        <v>53</v>
      </c>
      <c r="AF621" s="28"/>
      <c r="AG621" s="21">
        <v>6103000300</v>
      </c>
      <c r="AH621" s="21" t="s">
        <v>658</v>
      </c>
      <c r="AI621" s="85" t="s">
        <v>40</v>
      </c>
      <c r="AJ621" s="21"/>
      <c r="AK621" s="21"/>
      <c r="AL621" s="1" t="str">
        <f t="shared" si="10"/>
        <v>"Operationele werking","","","72000000","","unspsc","M","","","","","K","","A010","","721015","6103000300","True",""</v>
      </c>
      <c r="AM621" s="21"/>
      <c r="AN621" s="21"/>
      <c r="AO621" s="21"/>
      <c r="AP621" s="21"/>
      <c r="AQ621" s="21"/>
      <c r="AR621" s="21"/>
      <c r="AS621" s="21"/>
    </row>
    <row r="622" spans="1:45" x14ac:dyDescent="0.25">
      <c r="A622" s="1">
        <v>200</v>
      </c>
      <c r="C622" s="1" t="s">
        <v>31</v>
      </c>
      <c r="D622" s="1" t="s">
        <v>80</v>
      </c>
      <c r="E622" s="1" t="s">
        <v>86</v>
      </c>
      <c r="F622" s="1">
        <v>14</v>
      </c>
      <c r="G622" s="1" t="s">
        <v>73</v>
      </c>
      <c r="H622" s="8">
        <v>17</v>
      </c>
      <c r="J622" s="1" t="s">
        <v>41</v>
      </c>
      <c r="O622" s="11">
        <v>76000000</v>
      </c>
      <c r="Q622" s="1" t="s">
        <v>35</v>
      </c>
      <c r="R622" s="1" t="s">
        <v>36</v>
      </c>
      <c r="W622" s="1" t="s">
        <v>42</v>
      </c>
      <c r="Y622" s="1" t="s">
        <v>37</v>
      </c>
      <c r="AA622" s="84">
        <v>761215</v>
      </c>
      <c r="AB622" s="1" t="s">
        <v>659</v>
      </c>
      <c r="AC622" s="12" t="s">
        <v>91</v>
      </c>
      <c r="AD622" s="13">
        <v>0.21</v>
      </c>
      <c r="AE622" s="14" t="s">
        <v>53</v>
      </c>
      <c r="AG622" s="1">
        <v>6144000200</v>
      </c>
      <c r="AH622" s="1" t="s">
        <v>469</v>
      </c>
      <c r="AI622" s="17" t="s">
        <v>40</v>
      </c>
      <c r="AL622" s="1" t="str">
        <f t="shared" si="10"/>
        <v>"Operationele werking","","","76000000","","unspsc","M","","","","","K","","A010","","761215","6144000200","True",""</v>
      </c>
      <c r="AM622" s="2"/>
      <c r="AN622" s="2"/>
      <c r="AO622" s="2"/>
      <c r="AP622" s="2"/>
      <c r="AQ622" s="2"/>
      <c r="AR622" s="2"/>
      <c r="AS622" s="2"/>
    </row>
    <row r="623" spans="1:45" x14ac:dyDescent="0.25">
      <c r="A623" s="1">
        <v>200</v>
      </c>
      <c r="B623" s="1" t="s">
        <v>145</v>
      </c>
      <c r="C623" s="1" t="s">
        <v>31</v>
      </c>
      <c r="D623" s="1" t="s">
        <v>79</v>
      </c>
      <c r="E623" s="1" t="s">
        <v>86</v>
      </c>
      <c r="F623" s="1">
        <v>14</v>
      </c>
      <c r="G623" s="1" t="s">
        <v>73</v>
      </c>
      <c r="H623" s="8">
        <v>17</v>
      </c>
      <c r="J623" s="1" t="s">
        <v>41</v>
      </c>
      <c r="O623" s="11">
        <v>76000000</v>
      </c>
      <c r="Q623" s="1" t="s">
        <v>35</v>
      </c>
      <c r="R623" s="1" t="s">
        <v>36</v>
      </c>
      <c r="W623" s="1" t="s">
        <v>42</v>
      </c>
      <c r="Y623" s="1" t="s">
        <v>37</v>
      </c>
      <c r="AA623" s="84">
        <v>7611</v>
      </c>
      <c r="AB623" s="1" t="s">
        <v>660</v>
      </c>
      <c r="AC623" s="12" t="s">
        <v>91</v>
      </c>
      <c r="AD623" s="13">
        <v>0.21</v>
      </c>
      <c r="AE623" s="14" t="s">
        <v>53</v>
      </c>
      <c r="AG623" s="1">
        <v>6103001000</v>
      </c>
      <c r="AH623" s="1" t="s">
        <v>660</v>
      </c>
      <c r="AI623" s="17" t="s">
        <v>40</v>
      </c>
      <c r="AL623" s="1" t="str">
        <f t="shared" si="10"/>
        <v>"Operationele werking","","","76000000","","unspsc","M","","","","","K","","A010","","7611","6103001000","True",""</v>
      </c>
    </row>
    <row r="624" spans="1:45" x14ac:dyDescent="0.25">
      <c r="A624" s="1">
        <v>200</v>
      </c>
      <c r="C624" s="1" t="s">
        <v>31</v>
      </c>
      <c r="D624" s="1" t="s">
        <v>79</v>
      </c>
      <c r="E624" s="1" t="s">
        <v>86</v>
      </c>
      <c r="F624" s="1">
        <v>14</v>
      </c>
      <c r="G624" s="1" t="s">
        <v>73</v>
      </c>
      <c r="H624" s="8">
        <v>17</v>
      </c>
      <c r="J624" s="1" t="s">
        <v>41</v>
      </c>
      <c r="O624" s="11">
        <v>76000000</v>
      </c>
      <c r="Q624" s="1" t="s">
        <v>35</v>
      </c>
      <c r="R624" s="1" t="s">
        <v>36</v>
      </c>
      <c r="W624" s="1" t="s">
        <v>42</v>
      </c>
      <c r="Y624" s="1" t="s">
        <v>37</v>
      </c>
      <c r="AA624" s="84">
        <v>76</v>
      </c>
      <c r="AB624" s="1" t="s">
        <v>661</v>
      </c>
      <c r="AC624" s="12" t="s">
        <v>91</v>
      </c>
      <c r="AD624" s="13">
        <v>0.21</v>
      </c>
      <c r="AE624" s="14" t="s">
        <v>53</v>
      </c>
      <c r="AG624" s="1">
        <v>6103000400</v>
      </c>
      <c r="AH624" s="1" t="s">
        <v>656</v>
      </c>
      <c r="AI624" s="17" t="s">
        <v>40</v>
      </c>
      <c r="AL624" s="1" t="str">
        <f t="shared" si="10"/>
        <v>"Operationele werking","","","76000000","","unspsc","M","","","","","K","","A010","","76","6103000400","True",""</v>
      </c>
    </row>
    <row r="625" spans="1:45" s="39" customFormat="1" x14ac:dyDescent="0.25">
      <c r="A625" s="39">
        <v>200</v>
      </c>
      <c r="B625" s="41"/>
      <c r="C625" s="41" t="s">
        <v>31</v>
      </c>
      <c r="D625" s="41" t="s">
        <v>79</v>
      </c>
      <c r="E625" s="41" t="s">
        <v>86</v>
      </c>
      <c r="F625" s="41">
        <v>14</v>
      </c>
      <c r="G625" s="41" t="s">
        <v>73</v>
      </c>
      <c r="H625" s="42">
        <v>17</v>
      </c>
      <c r="I625" s="42" t="s">
        <v>662</v>
      </c>
      <c r="J625" s="41" t="s">
        <v>41</v>
      </c>
      <c r="K625" s="41"/>
      <c r="L625" s="41"/>
      <c r="M625" s="41"/>
      <c r="N625" s="41"/>
      <c r="O625" s="49">
        <v>76000000</v>
      </c>
      <c r="P625" s="41"/>
      <c r="Q625" s="41" t="s">
        <v>35</v>
      </c>
      <c r="R625" s="41" t="s">
        <v>36</v>
      </c>
      <c r="S625" s="41"/>
      <c r="T625" s="41"/>
      <c r="U625" s="41"/>
      <c r="V625" s="41"/>
      <c r="W625" s="41" t="s">
        <v>42</v>
      </c>
      <c r="X625" s="41"/>
      <c r="Y625" s="41" t="s">
        <v>37</v>
      </c>
      <c r="Z625" s="41"/>
      <c r="AA625" s="50">
        <v>761115</v>
      </c>
      <c r="AB625" s="41" t="s">
        <v>661</v>
      </c>
      <c r="AC625" s="50" t="s">
        <v>138</v>
      </c>
      <c r="AD625" s="51">
        <v>0.06</v>
      </c>
      <c r="AE625" s="52" t="s">
        <v>53</v>
      </c>
      <c r="AF625" s="60"/>
      <c r="AG625" s="41">
        <v>6103000400</v>
      </c>
      <c r="AH625" s="41" t="s">
        <v>656</v>
      </c>
      <c r="AI625" s="41" t="s">
        <v>40</v>
      </c>
      <c r="AJ625" s="41"/>
      <c r="AK625" s="41"/>
      <c r="AL625" s="39" t="str">
        <f t="shared" si="10"/>
        <v>"Operationele werking","","","76000000","","unspsc","M","","","","","K","","A010","","761115","6103000400","True",""</v>
      </c>
      <c r="AM625" s="40"/>
      <c r="AN625" s="40"/>
      <c r="AO625" s="40"/>
      <c r="AP625" s="40"/>
      <c r="AQ625" s="40"/>
      <c r="AR625" s="40"/>
      <c r="AS625" s="40"/>
    </row>
    <row r="626" spans="1:45" x14ac:dyDescent="0.25">
      <c r="A626" s="1">
        <v>200</v>
      </c>
      <c r="B626" s="1" t="s">
        <v>494</v>
      </c>
      <c r="C626" s="1" t="s">
        <v>134</v>
      </c>
      <c r="E626" s="1" t="s">
        <v>86</v>
      </c>
      <c r="F626" s="1">
        <v>14</v>
      </c>
      <c r="G626" s="1" t="s">
        <v>73</v>
      </c>
      <c r="H626" s="8">
        <v>17</v>
      </c>
      <c r="J626" s="1" t="s">
        <v>41</v>
      </c>
      <c r="O626" s="11">
        <v>78000000</v>
      </c>
      <c r="Q626" s="1" t="s">
        <v>35</v>
      </c>
      <c r="R626" s="1" t="s">
        <v>36</v>
      </c>
      <c r="W626" s="1" t="s">
        <v>42</v>
      </c>
      <c r="Y626" s="1" t="s">
        <v>37</v>
      </c>
      <c r="AA626" s="84">
        <v>78181505</v>
      </c>
      <c r="AB626" s="1" t="s">
        <v>495</v>
      </c>
      <c r="AC626" s="12" t="s">
        <v>91</v>
      </c>
      <c r="AD626" s="13">
        <v>0.21</v>
      </c>
      <c r="AE626" s="14" t="s">
        <v>53</v>
      </c>
      <c r="AG626" s="1">
        <v>6142100400</v>
      </c>
      <c r="AH626" s="1" t="s">
        <v>496</v>
      </c>
      <c r="AI626" s="17" t="s">
        <v>40</v>
      </c>
      <c r="AL626" s="1" t="str">
        <f t="shared" si="10"/>
        <v>"Operationele werking","","","78000000","","unspsc","M","","","","","K","","A010","","78181505","6142100400","True",""</v>
      </c>
    </row>
    <row r="627" spans="1:45" x14ac:dyDescent="0.25">
      <c r="A627" s="1">
        <v>200</v>
      </c>
      <c r="B627" s="1" t="s">
        <v>663</v>
      </c>
      <c r="C627" s="1" t="s">
        <v>31</v>
      </c>
      <c r="E627" s="1" t="s">
        <v>86</v>
      </c>
      <c r="F627" s="1">
        <v>14</v>
      </c>
      <c r="G627" s="1" t="s">
        <v>73</v>
      </c>
      <c r="H627" s="8">
        <v>17</v>
      </c>
      <c r="J627" s="1" t="s">
        <v>41</v>
      </c>
      <c r="O627" s="11">
        <v>78000000</v>
      </c>
      <c r="Q627" s="1" t="s">
        <v>35</v>
      </c>
      <c r="R627" s="1" t="s">
        <v>36</v>
      </c>
      <c r="W627" s="1" t="s">
        <v>42</v>
      </c>
      <c r="Y627" s="1" t="s">
        <v>37</v>
      </c>
      <c r="AA627" s="84">
        <v>78181501</v>
      </c>
      <c r="AB627" s="1" t="s">
        <v>498</v>
      </c>
      <c r="AC627" s="12" t="s">
        <v>91</v>
      </c>
      <c r="AD627" s="13">
        <v>0.21</v>
      </c>
      <c r="AE627" s="14" t="s">
        <v>53</v>
      </c>
      <c r="AG627" s="1">
        <v>6142100300</v>
      </c>
      <c r="AH627" s="1" t="s">
        <v>499</v>
      </c>
      <c r="AI627" s="17" t="s">
        <v>40</v>
      </c>
      <c r="AL627" s="1" t="str">
        <f t="shared" si="10"/>
        <v>"Operationele werking","","","78000000","","unspsc","M","","","","","K","","A010","","78181501","6142100300","True",""</v>
      </c>
    </row>
    <row r="628" spans="1:45" x14ac:dyDescent="0.25">
      <c r="A628" s="1">
        <v>200</v>
      </c>
      <c r="B628" s="1" t="s">
        <v>145</v>
      </c>
      <c r="C628" s="1" t="s">
        <v>31</v>
      </c>
      <c r="E628" s="1" t="s">
        <v>86</v>
      </c>
      <c r="F628" s="1">
        <v>14</v>
      </c>
      <c r="G628" s="1" t="s">
        <v>73</v>
      </c>
      <c r="H628" s="8">
        <v>17</v>
      </c>
      <c r="J628" s="1" t="s">
        <v>41</v>
      </c>
      <c r="O628" s="11">
        <v>78000000</v>
      </c>
      <c r="Q628" s="1" t="s">
        <v>35</v>
      </c>
      <c r="R628" s="1" t="s">
        <v>36</v>
      </c>
      <c r="W628" s="1" t="s">
        <v>42</v>
      </c>
      <c r="Y628" s="1" t="s">
        <v>37</v>
      </c>
      <c r="AA628" s="84">
        <v>7810</v>
      </c>
      <c r="AB628" s="1" t="s">
        <v>500</v>
      </c>
      <c r="AC628" s="12" t="s">
        <v>91</v>
      </c>
      <c r="AD628" s="13">
        <v>0.21</v>
      </c>
      <c r="AE628" s="14" t="s">
        <v>53</v>
      </c>
      <c r="AG628" s="1">
        <v>6147000100</v>
      </c>
      <c r="AH628" s="1" t="s">
        <v>501</v>
      </c>
      <c r="AI628" s="17" t="s">
        <v>40</v>
      </c>
      <c r="AL628" s="1" t="str">
        <f t="shared" si="10"/>
        <v>"Operationele werking","","","78000000","","unspsc","M","","","","","K","","A010","","7810","6147000100","True",""</v>
      </c>
    </row>
    <row r="629" spans="1:45" x14ac:dyDescent="0.25">
      <c r="A629" s="1">
        <v>200</v>
      </c>
      <c r="C629" s="1" t="s">
        <v>31</v>
      </c>
      <c r="E629" s="1" t="s">
        <v>664</v>
      </c>
      <c r="F629" s="1">
        <v>14</v>
      </c>
      <c r="G629" s="1" t="s">
        <v>73</v>
      </c>
      <c r="H629" s="8">
        <v>17</v>
      </c>
      <c r="J629" s="1" t="s">
        <v>41</v>
      </c>
      <c r="O629" s="11">
        <v>81000000</v>
      </c>
      <c r="Q629" s="1" t="s">
        <v>35</v>
      </c>
      <c r="R629" s="1" t="s">
        <v>36</v>
      </c>
      <c r="W629" s="1" t="s">
        <v>42</v>
      </c>
      <c r="Y629" s="1" t="s">
        <v>37</v>
      </c>
      <c r="AA629" s="84">
        <v>81141805</v>
      </c>
      <c r="AB629" s="1" t="s">
        <v>665</v>
      </c>
      <c r="AC629" s="12" t="s">
        <v>91</v>
      </c>
      <c r="AD629" s="13">
        <v>0.21</v>
      </c>
      <c r="AE629" s="14" t="s">
        <v>53</v>
      </c>
      <c r="AG629" s="1">
        <v>6103000500</v>
      </c>
      <c r="AH629" s="1" t="s">
        <v>479</v>
      </c>
      <c r="AI629" s="17" t="s">
        <v>40</v>
      </c>
      <c r="AL629" s="1" t="str">
        <f t="shared" si="10"/>
        <v>"Operationele werking","","","81000000","","unspsc","M","","","","","K","","A010","","81141805","6103000500","True",""</v>
      </c>
    </row>
    <row r="630" spans="1:45" x14ac:dyDescent="0.25">
      <c r="A630" s="1">
        <v>200</v>
      </c>
      <c r="C630" s="1" t="s">
        <v>134</v>
      </c>
      <c r="E630" s="1" t="s">
        <v>86</v>
      </c>
      <c r="F630" s="1">
        <v>14</v>
      </c>
      <c r="G630" s="1" t="s">
        <v>73</v>
      </c>
      <c r="H630" s="8">
        <v>16</v>
      </c>
      <c r="J630" s="1" t="s">
        <v>619</v>
      </c>
      <c r="O630" s="11">
        <v>93000000</v>
      </c>
      <c r="Q630" s="1" t="s">
        <v>35</v>
      </c>
      <c r="R630" s="1" t="s">
        <v>36</v>
      </c>
      <c r="W630" s="1" t="s">
        <v>42</v>
      </c>
      <c r="Y630" s="1" t="s">
        <v>37</v>
      </c>
      <c r="AA630" s="84">
        <v>9316</v>
      </c>
      <c r="AB630" s="1" t="s">
        <v>623</v>
      </c>
      <c r="AC630" s="12" t="s">
        <v>52</v>
      </c>
      <c r="AD630" s="13">
        <v>0</v>
      </c>
      <c r="AE630" s="14" t="s">
        <v>53</v>
      </c>
      <c r="AG630" s="1">
        <v>6400000600</v>
      </c>
      <c r="AH630" s="1" t="s">
        <v>623</v>
      </c>
      <c r="AI630" s="17" t="s">
        <v>40</v>
      </c>
      <c r="AL630" s="1" t="str">
        <f t="shared" si="10"/>
        <v>"Belastingen en/of taksen","","","93000000","","unspsc","M","","","","","K","","A010","","9316","6400000600","True",""</v>
      </c>
    </row>
    <row r="631" spans="1:45" x14ac:dyDescent="0.25">
      <c r="A631" s="1">
        <v>200</v>
      </c>
      <c r="C631" s="1" t="s">
        <v>134</v>
      </c>
      <c r="E631" s="1" t="s">
        <v>86</v>
      </c>
      <c r="F631" s="1">
        <v>14</v>
      </c>
      <c r="G631" s="1" t="s">
        <v>73</v>
      </c>
      <c r="H631" s="8">
        <v>16</v>
      </c>
      <c r="J631" s="1" t="s">
        <v>619</v>
      </c>
      <c r="O631" s="11">
        <v>93000000</v>
      </c>
      <c r="Q631" s="1" t="s">
        <v>35</v>
      </c>
      <c r="R631" s="1" t="s">
        <v>36</v>
      </c>
      <c r="W631" s="1" t="s">
        <v>42</v>
      </c>
      <c r="Y631" s="1" t="s">
        <v>37</v>
      </c>
      <c r="AA631" s="84" t="s">
        <v>629</v>
      </c>
      <c r="AB631" s="1" t="s">
        <v>666</v>
      </c>
      <c r="AC631" s="12" t="s">
        <v>52</v>
      </c>
      <c r="AD631" s="13">
        <v>0</v>
      </c>
      <c r="AE631" s="14" t="s">
        <v>53</v>
      </c>
      <c r="AG631" s="1">
        <v>6400000500</v>
      </c>
      <c r="AH631" s="1" t="s">
        <v>631</v>
      </c>
      <c r="AI631" s="17" t="s">
        <v>40</v>
      </c>
      <c r="AL631" s="1" t="str">
        <f t="shared" si="10"/>
        <v>"Belastingen en/of taksen","","","93000000","","unspsc","M","","","","","K","","A010","","9316A","6400000500","True",""</v>
      </c>
    </row>
    <row r="632" spans="1:45" x14ac:dyDescent="0.25">
      <c r="A632" s="1">
        <v>300</v>
      </c>
    </row>
    <row r="633" spans="1:45" x14ac:dyDescent="0.25">
      <c r="A633" s="1">
        <v>300</v>
      </c>
    </row>
    <row r="634" spans="1:45" x14ac:dyDescent="0.25">
      <c r="A634" s="1">
        <v>300</v>
      </c>
    </row>
    <row r="635" spans="1:45" x14ac:dyDescent="0.25">
      <c r="A635" s="1">
        <v>300</v>
      </c>
    </row>
    <row r="636" spans="1:45" x14ac:dyDescent="0.25">
      <c r="A636" s="1">
        <v>300</v>
      </c>
    </row>
    <row r="637" spans="1:45" x14ac:dyDescent="0.25">
      <c r="A637" s="1">
        <v>300</v>
      </c>
    </row>
    <row r="638" spans="1:45" x14ac:dyDescent="0.25">
      <c r="A638" s="1">
        <v>300</v>
      </c>
    </row>
    <row r="639" spans="1:45" x14ac:dyDescent="0.25">
      <c r="A639" s="1">
        <v>300</v>
      </c>
    </row>
    <row r="640" spans="1:45" x14ac:dyDescent="0.25">
      <c r="A640" s="1">
        <v>300</v>
      </c>
    </row>
    <row r="641" spans="1:1" x14ac:dyDescent="0.25">
      <c r="A641" s="1">
        <v>300</v>
      </c>
    </row>
    <row r="642" spans="1:1" x14ac:dyDescent="0.25">
      <c r="A642" s="1">
        <v>300</v>
      </c>
    </row>
    <row r="643" spans="1:1" x14ac:dyDescent="0.25">
      <c r="A643" s="1">
        <v>300</v>
      </c>
    </row>
    <row r="644" spans="1:1" x14ac:dyDescent="0.25">
      <c r="A644" s="1">
        <v>300</v>
      </c>
    </row>
    <row r="645" spans="1:1" x14ac:dyDescent="0.25">
      <c r="A645" s="1">
        <v>300</v>
      </c>
    </row>
    <row r="646" spans="1:1" x14ac:dyDescent="0.25">
      <c r="A646" s="1">
        <v>300</v>
      </c>
    </row>
    <row r="647" spans="1:1" x14ac:dyDescent="0.25">
      <c r="A647" s="1">
        <v>300</v>
      </c>
    </row>
    <row r="648" spans="1:1" x14ac:dyDescent="0.25">
      <c r="A648" s="1">
        <v>300</v>
      </c>
    </row>
    <row r="649" spans="1:1" x14ac:dyDescent="0.25">
      <c r="A649" s="1">
        <v>300</v>
      </c>
    </row>
    <row r="650" spans="1:1" x14ac:dyDescent="0.25">
      <c r="A650" s="1">
        <v>300</v>
      </c>
    </row>
    <row r="651" spans="1:1" x14ac:dyDescent="0.25">
      <c r="A651" s="1">
        <v>300</v>
      </c>
    </row>
    <row r="652" spans="1:1" x14ac:dyDescent="0.25">
      <c r="A652" s="1">
        <v>300</v>
      </c>
    </row>
    <row r="653" spans="1:1" x14ac:dyDescent="0.25">
      <c r="A653" s="1">
        <v>300</v>
      </c>
    </row>
    <row r="654" spans="1:1" x14ac:dyDescent="0.25">
      <c r="A654" s="1">
        <v>300</v>
      </c>
    </row>
    <row r="655" spans="1:1" x14ac:dyDescent="0.25">
      <c r="A655" s="1">
        <v>300</v>
      </c>
    </row>
    <row r="656" spans="1:1" x14ac:dyDescent="0.25">
      <c r="A656" s="1">
        <v>300</v>
      </c>
    </row>
    <row r="657" spans="1:1" x14ac:dyDescent="0.25">
      <c r="A657" s="1">
        <v>300</v>
      </c>
    </row>
    <row r="658" spans="1:1" x14ac:dyDescent="0.25">
      <c r="A658" s="1">
        <v>300</v>
      </c>
    </row>
    <row r="659" spans="1:1" x14ac:dyDescent="0.25">
      <c r="A659" s="1">
        <v>300</v>
      </c>
    </row>
    <row r="660" spans="1:1" x14ac:dyDescent="0.25">
      <c r="A660" s="1">
        <v>300</v>
      </c>
    </row>
    <row r="661" spans="1:1" x14ac:dyDescent="0.25">
      <c r="A661" s="1">
        <v>300</v>
      </c>
    </row>
    <row r="662" spans="1:1" x14ac:dyDescent="0.25">
      <c r="A662" s="1">
        <v>300</v>
      </c>
    </row>
    <row r="663" spans="1:1" x14ac:dyDescent="0.25">
      <c r="A663" s="1">
        <v>300</v>
      </c>
    </row>
    <row r="664" spans="1:1" x14ac:dyDescent="0.25">
      <c r="A664" s="1">
        <v>300</v>
      </c>
    </row>
    <row r="665" spans="1:1" x14ac:dyDescent="0.25">
      <c r="A665" s="1">
        <v>300</v>
      </c>
    </row>
    <row r="666" spans="1:1" x14ac:dyDescent="0.25">
      <c r="A666" s="1">
        <v>300</v>
      </c>
    </row>
    <row r="667" spans="1:1" x14ac:dyDescent="0.25">
      <c r="A667" s="1">
        <v>300</v>
      </c>
    </row>
    <row r="668" spans="1:1" x14ac:dyDescent="0.25">
      <c r="A668" s="1">
        <v>300</v>
      </c>
    </row>
    <row r="669" spans="1:1" x14ac:dyDescent="0.25">
      <c r="A669" s="1">
        <v>300</v>
      </c>
    </row>
    <row r="670" spans="1:1" x14ac:dyDescent="0.25">
      <c r="A670" s="1">
        <v>300</v>
      </c>
    </row>
    <row r="671" spans="1:1" x14ac:dyDescent="0.25">
      <c r="A671" s="1">
        <v>300</v>
      </c>
    </row>
    <row r="672" spans="1:1" x14ac:dyDescent="0.25">
      <c r="A672" s="1">
        <v>300</v>
      </c>
    </row>
    <row r="673" spans="1:1" x14ac:dyDescent="0.25">
      <c r="A673" s="1">
        <v>300</v>
      </c>
    </row>
    <row r="674" spans="1:1" x14ac:dyDescent="0.25">
      <c r="A674" s="1">
        <v>300</v>
      </c>
    </row>
    <row r="675" spans="1:1" x14ac:dyDescent="0.25">
      <c r="A675" s="1">
        <v>300</v>
      </c>
    </row>
    <row r="676" spans="1:1" x14ac:dyDescent="0.25">
      <c r="A676" s="1">
        <v>300</v>
      </c>
    </row>
    <row r="677" spans="1:1" x14ac:dyDescent="0.25">
      <c r="A677" s="1">
        <v>300</v>
      </c>
    </row>
    <row r="678" spans="1:1" x14ac:dyDescent="0.25">
      <c r="A678" s="1">
        <v>300</v>
      </c>
    </row>
    <row r="679" spans="1:1" x14ac:dyDescent="0.25">
      <c r="A679" s="1">
        <v>300</v>
      </c>
    </row>
    <row r="680" spans="1:1" x14ac:dyDescent="0.25">
      <c r="A680" s="1">
        <v>300</v>
      </c>
    </row>
    <row r="681" spans="1:1" x14ac:dyDescent="0.25">
      <c r="A681" s="1">
        <v>300</v>
      </c>
    </row>
    <row r="682" spans="1:1" x14ac:dyDescent="0.25">
      <c r="A682" s="1">
        <v>300</v>
      </c>
    </row>
    <row r="683" spans="1:1" x14ac:dyDescent="0.25">
      <c r="A683" s="1">
        <v>300</v>
      </c>
    </row>
    <row r="684" spans="1:1" x14ac:dyDescent="0.25">
      <c r="A684" s="1">
        <v>300</v>
      </c>
    </row>
    <row r="685" spans="1:1" x14ac:dyDescent="0.25">
      <c r="A685" s="1">
        <v>300</v>
      </c>
    </row>
    <row r="686" spans="1:1" x14ac:dyDescent="0.25">
      <c r="A686" s="1">
        <v>300</v>
      </c>
    </row>
    <row r="687" spans="1:1" x14ac:dyDescent="0.25">
      <c r="A687" s="1">
        <v>300</v>
      </c>
    </row>
    <row r="688" spans="1:1" x14ac:dyDescent="0.25">
      <c r="A688" s="1">
        <v>300</v>
      </c>
    </row>
    <row r="689" spans="1:1" x14ac:dyDescent="0.25">
      <c r="A689" s="1">
        <v>300</v>
      </c>
    </row>
    <row r="690" spans="1:1" x14ac:dyDescent="0.25">
      <c r="A690" s="1">
        <v>300</v>
      </c>
    </row>
    <row r="691" spans="1:1" x14ac:dyDescent="0.25">
      <c r="A691" s="1">
        <v>300</v>
      </c>
    </row>
    <row r="692" spans="1:1" x14ac:dyDescent="0.25">
      <c r="A692" s="1">
        <v>300</v>
      </c>
    </row>
    <row r="693" spans="1:1" x14ac:dyDescent="0.25">
      <c r="A693" s="1">
        <v>300</v>
      </c>
    </row>
    <row r="694" spans="1:1" x14ac:dyDescent="0.25">
      <c r="A694" s="1">
        <v>300</v>
      </c>
    </row>
    <row r="695" spans="1:1" x14ac:dyDescent="0.25">
      <c r="A695" s="1">
        <v>300</v>
      </c>
    </row>
    <row r="696" spans="1:1" x14ac:dyDescent="0.25">
      <c r="A696" s="1">
        <v>300</v>
      </c>
    </row>
    <row r="697" spans="1:1" x14ac:dyDescent="0.25">
      <c r="A697" s="1">
        <v>300</v>
      </c>
    </row>
    <row r="698" spans="1:1" x14ac:dyDescent="0.25">
      <c r="A698" s="1">
        <v>300</v>
      </c>
    </row>
    <row r="699" spans="1:1" x14ac:dyDescent="0.25">
      <c r="A699" s="1">
        <v>300</v>
      </c>
    </row>
    <row r="700" spans="1:1" x14ac:dyDescent="0.25">
      <c r="A700" s="1">
        <v>300</v>
      </c>
    </row>
    <row r="701" spans="1:1" x14ac:dyDescent="0.25">
      <c r="A701" s="1">
        <v>300</v>
      </c>
    </row>
    <row r="702" spans="1:1" x14ac:dyDescent="0.25">
      <c r="A702" s="1">
        <v>300</v>
      </c>
    </row>
    <row r="703" spans="1:1" x14ac:dyDescent="0.25">
      <c r="A703" s="1">
        <v>300</v>
      </c>
    </row>
    <row r="704" spans="1:1" x14ac:dyDescent="0.25">
      <c r="A704" s="1">
        <v>300</v>
      </c>
    </row>
    <row r="705" spans="1:1" x14ac:dyDescent="0.25">
      <c r="A705" s="1">
        <v>300</v>
      </c>
    </row>
    <row r="706" spans="1:1" x14ac:dyDescent="0.25">
      <c r="A706" s="1">
        <v>300</v>
      </c>
    </row>
    <row r="707" spans="1:1" x14ac:dyDescent="0.25">
      <c r="A707" s="1">
        <v>300</v>
      </c>
    </row>
    <row r="708" spans="1:1" x14ac:dyDescent="0.25">
      <c r="A708" s="1">
        <v>300</v>
      </c>
    </row>
    <row r="709" spans="1:1" x14ac:dyDescent="0.25">
      <c r="A709" s="1">
        <v>300</v>
      </c>
    </row>
    <row r="710" spans="1:1" x14ac:dyDescent="0.25">
      <c r="A710" s="1">
        <v>300</v>
      </c>
    </row>
    <row r="711" spans="1:1" x14ac:dyDescent="0.25">
      <c r="A711" s="1">
        <v>300</v>
      </c>
    </row>
    <row r="712" spans="1:1" x14ac:dyDescent="0.25">
      <c r="A712" s="1">
        <v>300</v>
      </c>
    </row>
    <row r="713" spans="1:1" x14ac:dyDescent="0.25">
      <c r="A713" s="1">
        <v>300</v>
      </c>
    </row>
    <row r="714" spans="1:1" x14ac:dyDescent="0.25">
      <c r="A714" s="1">
        <v>300</v>
      </c>
    </row>
    <row r="715" spans="1:1" x14ac:dyDescent="0.25">
      <c r="A715" s="1">
        <v>300</v>
      </c>
    </row>
    <row r="716" spans="1:1" x14ac:dyDescent="0.25">
      <c r="A716" s="1">
        <v>300</v>
      </c>
    </row>
    <row r="717" spans="1:1" x14ac:dyDescent="0.25">
      <c r="A717" s="1">
        <v>300</v>
      </c>
    </row>
    <row r="718" spans="1:1" x14ac:dyDescent="0.25">
      <c r="A718" s="1">
        <v>300</v>
      </c>
    </row>
    <row r="719" spans="1:1" x14ac:dyDescent="0.25">
      <c r="A719" s="1">
        <v>300</v>
      </c>
    </row>
    <row r="720" spans="1:1" x14ac:dyDescent="0.25">
      <c r="A720" s="1">
        <v>300</v>
      </c>
    </row>
    <row r="721" spans="1:1" x14ac:dyDescent="0.25">
      <c r="A721" s="1">
        <v>300</v>
      </c>
    </row>
    <row r="722" spans="1:1" x14ac:dyDescent="0.25">
      <c r="A722" s="1">
        <v>300</v>
      </c>
    </row>
    <row r="723" spans="1:1" x14ac:dyDescent="0.25">
      <c r="A723" s="1">
        <v>300</v>
      </c>
    </row>
    <row r="724" spans="1:1" x14ac:dyDescent="0.25">
      <c r="A724" s="1">
        <v>300</v>
      </c>
    </row>
    <row r="725" spans="1:1" x14ac:dyDescent="0.25">
      <c r="A725" s="1">
        <v>300</v>
      </c>
    </row>
    <row r="726" spans="1:1" x14ac:dyDescent="0.25">
      <c r="A726" s="1">
        <v>300</v>
      </c>
    </row>
    <row r="727" spans="1:1" x14ac:dyDescent="0.25">
      <c r="A727" s="1">
        <v>300</v>
      </c>
    </row>
    <row r="728" spans="1:1" x14ac:dyDescent="0.25">
      <c r="A728" s="1">
        <v>300</v>
      </c>
    </row>
    <row r="729" spans="1:1" x14ac:dyDescent="0.25">
      <c r="A729" s="1">
        <v>300</v>
      </c>
    </row>
    <row r="730" spans="1:1" x14ac:dyDescent="0.25">
      <c r="A730" s="1">
        <v>300</v>
      </c>
    </row>
    <row r="731" spans="1:1" x14ac:dyDescent="0.25">
      <c r="A731" s="1">
        <v>300</v>
      </c>
    </row>
    <row r="732" spans="1:1" x14ac:dyDescent="0.25">
      <c r="A732" s="1">
        <v>300</v>
      </c>
    </row>
    <row r="733" spans="1:1" x14ac:dyDescent="0.25">
      <c r="A733" s="1">
        <v>300</v>
      </c>
    </row>
    <row r="734" spans="1:1" x14ac:dyDescent="0.25">
      <c r="A734" s="1">
        <v>300</v>
      </c>
    </row>
    <row r="735" spans="1:1" x14ac:dyDescent="0.25">
      <c r="A735" s="1">
        <v>300</v>
      </c>
    </row>
    <row r="736" spans="1:1" x14ac:dyDescent="0.25">
      <c r="A736" s="1">
        <v>300</v>
      </c>
    </row>
    <row r="737" spans="1:1" x14ac:dyDescent="0.25">
      <c r="A737" s="1">
        <v>300</v>
      </c>
    </row>
    <row r="738" spans="1:1" x14ac:dyDescent="0.25">
      <c r="A738" s="1">
        <v>300</v>
      </c>
    </row>
    <row r="739" spans="1:1" x14ac:dyDescent="0.25">
      <c r="A739" s="1">
        <v>300</v>
      </c>
    </row>
    <row r="740" spans="1:1" x14ac:dyDescent="0.25">
      <c r="A740" s="1">
        <v>300</v>
      </c>
    </row>
    <row r="741" spans="1:1" x14ac:dyDescent="0.25">
      <c r="A741" s="1">
        <v>300</v>
      </c>
    </row>
    <row r="742" spans="1:1" x14ac:dyDescent="0.25">
      <c r="A742" s="1">
        <v>300</v>
      </c>
    </row>
    <row r="743" spans="1:1" x14ac:dyDescent="0.25">
      <c r="A743" s="1">
        <v>300</v>
      </c>
    </row>
    <row r="744" spans="1:1" x14ac:dyDescent="0.25">
      <c r="A744" s="1">
        <v>300</v>
      </c>
    </row>
    <row r="745" spans="1:1" x14ac:dyDescent="0.25">
      <c r="A745" s="1">
        <v>300</v>
      </c>
    </row>
    <row r="746" spans="1:1" x14ac:dyDescent="0.25">
      <c r="A746" s="1">
        <v>300</v>
      </c>
    </row>
    <row r="747" spans="1:1" x14ac:dyDescent="0.25">
      <c r="A747" s="1">
        <v>300</v>
      </c>
    </row>
    <row r="748" spans="1:1" x14ac:dyDescent="0.25">
      <c r="A748" s="1">
        <v>300</v>
      </c>
    </row>
    <row r="749" spans="1:1" x14ac:dyDescent="0.25">
      <c r="A749" s="1">
        <v>300</v>
      </c>
    </row>
    <row r="750" spans="1:1" x14ac:dyDescent="0.25">
      <c r="A750" s="1">
        <v>300</v>
      </c>
    </row>
    <row r="751" spans="1:1" x14ac:dyDescent="0.25">
      <c r="A751" s="1">
        <v>300</v>
      </c>
    </row>
    <row r="752" spans="1:1" x14ac:dyDescent="0.25">
      <c r="A752" s="1">
        <v>300</v>
      </c>
    </row>
    <row r="753" spans="1:1" x14ac:dyDescent="0.25">
      <c r="A753" s="1">
        <v>300</v>
      </c>
    </row>
    <row r="754" spans="1:1" x14ac:dyDescent="0.25">
      <c r="A754" s="1">
        <v>300</v>
      </c>
    </row>
    <row r="755" spans="1:1" x14ac:dyDescent="0.25">
      <c r="A755" s="1">
        <v>300</v>
      </c>
    </row>
    <row r="756" spans="1:1" x14ac:dyDescent="0.25">
      <c r="A756" s="1">
        <v>300</v>
      </c>
    </row>
    <row r="757" spans="1:1" x14ac:dyDescent="0.25">
      <c r="A757" s="1">
        <v>300</v>
      </c>
    </row>
    <row r="758" spans="1:1" x14ac:dyDescent="0.25">
      <c r="A758" s="1">
        <v>300</v>
      </c>
    </row>
    <row r="759" spans="1:1" x14ac:dyDescent="0.25">
      <c r="A759" s="1">
        <v>300</v>
      </c>
    </row>
    <row r="760" spans="1:1" x14ac:dyDescent="0.25">
      <c r="A760" s="1">
        <v>300</v>
      </c>
    </row>
    <row r="761" spans="1:1" x14ac:dyDescent="0.25">
      <c r="A761" s="1">
        <v>300</v>
      </c>
    </row>
    <row r="762" spans="1:1" x14ac:dyDescent="0.25">
      <c r="A762" s="1">
        <v>300</v>
      </c>
    </row>
    <row r="763" spans="1:1" x14ac:dyDescent="0.25">
      <c r="A763" s="1">
        <v>300</v>
      </c>
    </row>
    <row r="764" spans="1:1" x14ac:dyDescent="0.25">
      <c r="A764" s="1">
        <v>300</v>
      </c>
    </row>
    <row r="765" spans="1:1" x14ac:dyDescent="0.25">
      <c r="A765" s="1">
        <v>300</v>
      </c>
    </row>
    <row r="766" spans="1:1" x14ac:dyDescent="0.25">
      <c r="A766" s="1">
        <v>300</v>
      </c>
    </row>
    <row r="767" spans="1:1" x14ac:dyDescent="0.25">
      <c r="A767" s="1">
        <v>300</v>
      </c>
    </row>
    <row r="768" spans="1:1" x14ac:dyDescent="0.25">
      <c r="A768" s="1">
        <v>300</v>
      </c>
    </row>
    <row r="769" spans="1:1" x14ac:dyDescent="0.25">
      <c r="A769" s="1">
        <v>300</v>
      </c>
    </row>
    <row r="770" spans="1:1" x14ac:dyDescent="0.25">
      <c r="A770" s="1">
        <v>300</v>
      </c>
    </row>
    <row r="771" spans="1:1" x14ac:dyDescent="0.25">
      <c r="A771" s="1">
        <v>300</v>
      </c>
    </row>
    <row r="772" spans="1:1" x14ac:dyDescent="0.25">
      <c r="A772" s="1">
        <v>300</v>
      </c>
    </row>
    <row r="773" spans="1:1" x14ac:dyDescent="0.25">
      <c r="A773" s="1">
        <v>300</v>
      </c>
    </row>
    <row r="774" spans="1:1" x14ac:dyDescent="0.25">
      <c r="A774" s="1">
        <v>300</v>
      </c>
    </row>
    <row r="775" spans="1:1" x14ac:dyDescent="0.25">
      <c r="A775" s="1">
        <v>300</v>
      </c>
    </row>
    <row r="776" spans="1:1" x14ac:dyDescent="0.25">
      <c r="A776" s="1">
        <v>300</v>
      </c>
    </row>
    <row r="777" spans="1:1" x14ac:dyDescent="0.25">
      <c r="A777" s="1">
        <v>300</v>
      </c>
    </row>
    <row r="778" spans="1:1" x14ac:dyDescent="0.25">
      <c r="A778" s="1">
        <v>300</v>
      </c>
    </row>
    <row r="779" spans="1:1" x14ac:dyDescent="0.25">
      <c r="A779" s="1">
        <v>300</v>
      </c>
    </row>
    <row r="780" spans="1:1" x14ac:dyDescent="0.25">
      <c r="A780" s="1">
        <v>300</v>
      </c>
    </row>
    <row r="781" spans="1:1" x14ac:dyDescent="0.25">
      <c r="A781" s="1">
        <v>300</v>
      </c>
    </row>
    <row r="782" spans="1:1" x14ac:dyDescent="0.25">
      <c r="A782" s="1">
        <v>300</v>
      </c>
    </row>
    <row r="783" spans="1:1" x14ac:dyDescent="0.25">
      <c r="A783" s="1">
        <v>300</v>
      </c>
    </row>
    <row r="784" spans="1:1" x14ac:dyDescent="0.25">
      <c r="A784" s="1">
        <v>300</v>
      </c>
    </row>
    <row r="785" spans="1:1" x14ac:dyDescent="0.25">
      <c r="A785" s="1">
        <v>300</v>
      </c>
    </row>
    <row r="786" spans="1:1" x14ac:dyDescent="0.25">
      <c r="A786" s="1">
        <v>300</v>
      </c>
    </row>
    <row r="787" spans="1:1" x14ac:dyDescent="0.25">
      <c r="A787" s="1">
        <v>300</v>
      </c>
    </row>
    <row r="788" spans="1:1" x14ac:dyDescent="0.25">
      <c r="A788" s="1">
        <v>300</v>
      </c>
    </row>
    <row r="789" spans="1:1" x14ac:dyDescent="0.25">
      <c r="A789" s="1">
        <v>300</v>
      </c>
    </row>
    <row r="790" spans="1:1" x14ac:dyDescent="0.25">
      <c r="A790" s="1">
        <v>300</v>
      </c>
    </row>
    <row r="791" spans="1:1" x14ac:dyDescent="0.25">
      <c r="A791" s="1">
        <v>300</v>
      </c>
    </row>
    <row r="792" spans="1:1" x14ac:dyDescent="0.25">
      <c r="A792" s="1">
        <v>300</v>
      </c>
    </row>
    <row r="793" spans="1:1" x14ac:dyDescent="0.25">
      <c r="A793" s="1">
        <v>300</v>
      </c>
    </row>
    <row r="794" spans="1:1" x14ac:dyDescent="0.25">
      <c r="A794" s="1">
        <v>300</v>
      </c>
    </row>
    <row r="795" spans="1:1" x14ac:dyDescent="0.25">
      <c r="A795" s="1">
        <v>300</v>
      </c>
    </row>
    <row r="796" spans="1:1" x14ac:dyDescent="0.25">
      <c r="A796" s="1">
        <v>300</v>
      </c>
    </row>
    <row r="797" spans="1:1" x14ac:dyDescent="0.25">
      <c r="A797" s="1">
        <v>300</v>
      </c>
    </row>
    <row r="798" spans="1:1" x14ac:dyDescent="0.25">
      <c r="A798" s="1">
        <v>300</v>
      </c>
    </row>
    <row r="799" spans="1:1" x14ac:dyDescent="0.25">
      <c r="A799" s="1">
        <v>300</v>
      </c>
    </row>
    <row r="800" spans="1:1" x14ac:dyDescent="0.25">
      <c r="A800" s="1">
        <v>300</v>
      </c>
    </row>
    <row r="801" spans="1:1" x14ac:dyDescent="0.25">
      <c r="A801" s="1">
        <v>300</v>
      </c>
    </row>
    <row r="802" spans="1:1" x14ac:dyDescent="0.25">
      <c r="A802" s="1">
        <v>300</v>
      </c>
    </row>
    <row r="803" spans="1:1" x14ac:dyDescent="0.25">
      <c r="A803" s="1">
        <v>300</v>
      </c>
    </row>
    <row r="804" spans="1:1" x14ac:dyDescent="0.25">
      <c r="A804" s="1">
        <v>300</v>
      </c>
    </row>
    <row r="805" spans="1:1" x14ac:dyDescent="0.25">
      <c r="A805" s="1">
        <v>300</v>
      </c>
    </row>
    <row r="806" spans="1:1" x14ac:dyDescent="0.25">
      <c r="A806" s="1">
        <v>300</v>
      </c>
    </row>
    <row r="807" spans="1:1" x14ac:dyDescent="0.25">
      <c r="A807" s="1">
        <v>300</v>
      </c>
    </row>
    <row r="808" spans="1:1" x14ac:dyDescent="0.25">
      <c r="A808" s="1">
        <v>300</v>
      </c>
    </row>
    <row r="809" spans="1:1" x14ac:dyDescent="0.25">
      <c r="A809" s="1">
        <v>300</v>
      </c>
    </row>
    <row r="810" spans="1:1" x14ac:dyDescent="0.25">
      <c r="A810" s="1">
        <v>300</v>
      </c>
    </row>
    <row r="811" spans="1:1" x14ac:dyDescent="0.25">
      <c r="A811" s="1">
        <v>300</v>
      </c>
    </row>
    <row r="812" spans="1:1" x14ac:dyDescent="0.25">
      <c r="A812" s="1">
        <v>300</v>
      </c>
    </row>
    <row r="813" spans="1:1" x14ac:dyDescent="0.25">
      <c r="A813" s="1">
        <v>300</v>
      </c>
    </row>
    <row r="814" spans="1:1" x14ac:dyDescent="0.25">
      <c r="A814" s="1">
        <v>300</v>
      </c>
    </row>
    <row r="815" spans="1:1" x14ac:dyDescent="0.25">
      <c r="A815" s="1">
        <v>300</v>
      </c>
    </row>
    <row r="816" spans="1:1" x14ac:dyDescent="0.25">
      <c r="A816" s="1">
        <v>300</v>
      </c>
    </row>
    <row r="817" spans="1:1" x14ac:dyDescent="0.25">
      <c r="A817" s="1">
        <v>300</v>
      </c>
    </row>
    <row r="818" spans="1:1" x14ac:dyDescent="0.25">
      <c r="A818" s="1">
        <v>300</v>
      </c>
    </row>
    <row r="819" spans="1:1" x14ac:dyDescent="0.25">
      <c r="A819" s="1">
        <v>300</v>
      </c>
    </row>
    <row r="820" spans="1:1" x14ac:dyDescent="0.25">
      <c r="A820" s="1">
        <v>300</v>
      </c>
    </row>
    <row r="821" spans="1:1" x14ac:dyDescent="0.25">
      <c r="A821" s="1">
        <v>300</v>
      </c>
    </row>
    <row r="822" spans="1:1" x14ac:dyDescent="0.25">
      <c r="A822" s="1">
        <v>300</v>
      </c>
    </row>
    <row r="823" spans="1:1" x14ac:dyDescent="0.25">
      <c r="A823" s="1">
        <v>300</v>
      </c>
    </row>
    <row r="824" spans="1:1" x14ac:dyDescent="0.25">
      <c r="A824" s="1">
        <v>300</v>
      </c>
    </row>
    <row r="825" spans="1:1" x14ac:dyDescent="0.25">
      <c r="A825" s="1">
        <v>300</v>
      </c>
    </row>
    <row r="826" spans="1:1" x14ac:dyDescent="0.25">
      <c r="A826" s="1">
        <v>300</v>
      </c>
    </row>
    <row r="827" spans="1:1" x14ac:dyDescent="0.25">
      <c r="A827" s="1">
        <v>300</v>
      </c>
    </row>
    <row r="828" spans="1:1" x14ac:dyDescent="0.25">
      <c r="A828" s="1">
        <v>300</v>
      </c>
    </row>
    <row r="829" spans="1:1" x14ac:dyDescent="0.25">
      <c r="A829" s="1">
        <v>300</v>
      </c>
    </row>
    <row r="830" spans="1:1" x14ac:dyDescent="0.25">
      <c r="A830" s="1">
        <v>300</v>
      </c>
    </row>
    <row r="831" spans="1:1" x14ac:dyDescent="0.25">
      <c r="A831" s="1">
        <v>300</v>
      </c>
    </row>
    <row r="832" spans="1:1" x14ac:dyDescent="0.25">
      <c r="A832" s="1">
        <v>300</v>
      </c>
    </row>
    <row r="833" spans="1:1" x14ac:dyDescent="0.25">
      <c r="A833" s="1">
        <v>300</v>
      </c>
    </row>
    <row r="834" spans="1:1" x14ac:dyDescent="0.25">
      <c r="A834" s="1">
        <v>300</v>
      </c>
    </row>
    <row r="835" spans="1:1" x14ac:dyDescent="0.25">
      <c r="A835" s="1">
        <v>300</v>
      </c>
    </row>
    <row r="836" spans="1:1" x14ac:dyDescent="0.25">
      <c r="A836" s="1">
        <v>300</v>
      </c>
    </row>
    <row r="837" spans="1:1" x14ac:dyDescent="0.25">
      <c r="A837" s="1">
        <v>300</v>
      </c>
    </row>
    <row r="838" spans="1:1" x14ac:dyDescent="0.25">
      <c r="A838" s="1">
        <v>300</v>
      </c>
    </row>
    <row r="839" spans="1:1" x14ac:dyDescent="0.25">
      <c r="A839" s="1">
        <v>300</v>
      </c>
    </row>
    <row r="840" spans="1:1" x14ac:dyDescent="0.25">
      <c r="A840" s="1">
        <v>300</v>
      </c>
    </row>
    <row r="841" spans="1:1" x14ac:dyDescent="0.25">
      <c r="A841" s="1">
        <v>300</v>
      </c>
    </row>
    <row r="842" spans="1:1" x14ac:dyDescent="0.25">
      <c r="A842" s="1">
        <v>300</v>
      </c>
    </row>
    <row r="843" spans="1:1" x14ac:dyDescent="0.25">
      <c r="A843" s="1">
        <v>300</v>
      </c>
    </row>
    <row r="844" spans="1:1" x14ac:dyDescent="0.25">
      <c r="A844" s="1">
        <v>300</v>
      </c>
    </row>
    <row r="845" spans="1:1" x14ac:dyDescent="0.25">
      <c r="A845" s="1">
        <v>300</v>
      </c>
    </row>
    <row r="846" spans="1:1" x14ac:dyDescent="0.25">
      <c r="A846" s="1">
        <v>300</v>
      </c>
    </row>
    <row r="847" spans="1:1" x14ac:dyDescent="0.25">
      <c r="A847" s="1">
        <v>300</v>
      </c>
    </row>
    <row r="848" spans="1:1" x14ac:dyDescent="0.25">
      <c r="A848" s="1">
        <v>300</v>
      </c>
    </row>
    <row r="849" spans="1:1" x14ac:dyDescent="0.25">
      <c r="A849" s="1">
        <v>300</v>
      </c>
    </row>
    <row r="850" spans="1:1" x14ac:dyDescent="0.25">
      <c r="A850" s="1">
        <v>300</v>
      </c>
    </row>
    <row r="851" spans="1:1" x14ac:dyDescent="0.25">
      <c r="A851" s="1">
        <v>300</v>
      </c>
    </row>
    <row r="852" spans="1:1" x14ac:dyDescent="0.25">
      <c r="A852" s="1">
        <v>300</v>
      </c>
    </row>
    <row r="853" spans="1:1" x14ac:dyDescent="0.25">
      <c r="A853" s="1">
        <v>300</v>
      </c>
    </row>
    <row r="854" spans="1:1" x14ac:dyDescent="0.25">
      <c r="A854" s="1">
        <v>300</v>
      </c>
    </row>
    <row r="855" spans="1:1" x14ac:dyDescent="0.25">
      <c r="A855" s="1">
        <v>300</v>
      </c>
    </row>
    <row r="856" spans="1:1" x14ac:dyDescent="0.25">
      <c r="A856" s="1">
        <v>300</v>
      </c>
    </row>
    <row r="857" spans="1:1" x14ac:dyDescent="0.25">
      <c r="A857" s="1">
        <v>300</v>
      </c>
    </row>
    <row r="858" spans="1:1" x14ac:dyDescent="0.25">
      <c r="A858" s="1">
        <v>300</v>
      </c>
    </row>
    <row r="859" spans="1:1" x14ac:dyDescent="0.25">
      <c r="A859" s="1">
        <v>300</v>
      </c>
    </row>
    <row r="860" spans="1:1" x14ac:dyDescent="0.25">
      <c r="A860" s="1">
        <v>300</v>
      </c>
    </row>
    <row r="861" spans="1:1" x14ac:dyDescent="0.25">
      <c r="A861" s="1">
        <v>300</v>
      </c>
    </row>
    <row r="862" spans="1:1" x14ac:dyDescent="0.25">
      <c r="A862" s="1">
        <v>300</v>
      </c>
    </row>
    <row r="863" spans="1:1" x14ac:dyDescent="0.25">
      <c r="A863" s="1">
        <v>300</v>
      </c>
    </row>
    <row r="864" spans="1:1" x14ac:dyDescent="0.25">
      <c r="A864" s="1">
        <v>300</v>
      </c>
    </row>
    <row r="865" spans="1:1" x14ac:dyDescent="0.25">
      <c r="A865" s="1">
        <v>300</v>
      </c>
    </row>
    <row r="866" spans="1:1" x14ac:dyDescent="0.25">
      <c r="A866" s="1">
        <v>300</v>
      </c>
    </row>
    <row r="867" spans="1:1" x14ac:dyDescent="0.25">
      <c r="A867" s="1">
        <v>300</v>
      </c>
    </row>
    <row r="868" spans="1:1" x14ac:dyDescent="0.25">
      <c r="A868" s="1">
        <v>300</v>
      </c>
    </row>
    <row r="869" spans="1:1" x14ac:dyDescent="0.25">
      <c r="A869" s="1">
        <v>300</v>
      </c>
    </row>
    <row r="870" spans="1:1" x14ac:dyDescent="0.25">
      <c r="A870" s="1">
        <v>300</v>
      </c>
    </row>
    <row r="871" spans="1:1" x14ac:dyDescent="0.25">
      <c r="A871" s="1">
        <v>300</v>
      </c>
    </row>
    <row r="872" spans="1:1" x14ac:dyDescent="0.25">
      <c r="A872" s="1">
        <v>300</v>
      </c>
    </row>
    <row r="873" spans="1:1" x14ac:dyDescent="0.25">
      <c r="A873" s="1">
        <v>300</v>
      </c>
    </row>
    <row r="874" spans="1:1" x14ac:dyDescent="0.25">
      <c r="A874" s="1">
        <v>300</v>
      </c>
    </row>
    <row r="875" spans="1:1" x14ac:dyDescent="0.25">
      <c r="A875" s="1">
        <v>300</v>
      </c>
    </row>
    <row r="876" spans="1:1" x14ac:dyDescent="0.25">
      <c r="A876" s="1">
        <v>300</v>
      </c>
    </row>
    <row r="877" spans="1:1" x14ac:dyDescent="0.25">
      <c r="A877" s="1">
        <v>300</v>
      </c>
    </row>
    <row r="878" spans="1:1" x14ac:dyDescent="0.25">
      <c r="A878" s="1">
        <v>300</v>
      </c>
    </row>
    <row r="879" spans="1:1" x14ac:dyDescent="0.25">
      <c r="A879" s="1">
        <v>300</v>
      </c>
    </row>
    <row r="880" spans="1:1" x14ac:dyDescent="0.25">
      <c r="A880" s="1">
        <v>300</v>
      </c>
    </row>
    <row r="881" spans="1:1" x14ac:dyDescent="0.25">
      <c r="A881" s="1">
        <v>300</v>
      </c>
    </row>
    <row r="882" spans="1:1" x14ac:dyDescent="0.25">
      <c r="A882" s="1">
        <v>300</v>
      </c>
    </row>
    <row r="883" spans="1:1" x14ac:dyDescent="0.25">
      <c r="A883" s="1">
        <v>300</v>
      </c>
    </row>
    <row r="884" spans="1:1" x14ac:dyDescent="0.25">
      <c r="A884" s="1">
        <v>300</v>
      </c>
    </row>
    <row r="885" spans="1:1" x14ac:dyDescent="0.25">
      <c r="A885" s="1">
        <v>300</v>
      </c>
    </row>
    <row r="886" spans="1:1" x14ac:dyDescent="0.25">
      <c r="A886" s="1">
        <v>300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59B40-C372-4EF9-A18E-BB7B72CB8C0F}">
  <dimension ref="A1:I515"/>
  <sheetViews>
    <sheetView tabSelected="1" workbookViewId="0"/>
  </sheetViews>
  <sheetFormatPr defaultRowHeight="15" x14ac:dyDescent="0.25"/>
  <cols>
    <col min="2" max="2" width="48.28515625" bestFit="1" customWidth="1"/>
    <col min="3" max="3" width="38.28515625" bestFit="1" customWidth="1"/>
    <col min="4" max="4" width="80.7109375" bestFit="1" customWidth="1"/>
    <col min="5" max="5" width="40.5703125" bestFit="1" customWidth="1"/>
    <col min="6" max="6" width="16.42578125" bestFit="1" customWidth="1"/>
    <col min="7" max="7" width="24.28515625" bestFit="1" customWidth="1"/>
  </cols>
  <sheetData>
    <row r="1" spans="1:9" s="91" customFormat="1" x14ac:dyDescent="0.25">
      <c r="A1" s="1" t="s">
        <v>2</v>
      </c>
      <c r="B1" s="1" t="s">
        <v>3</v>
      </c>
      <c r="C1" s="88" t="s">
        <v>6</v>
      </c>
      <c r="D1" s="89" t="s">
        <v>21</v>
      </c>
      <c r="E1" s="89" t="s">
        <v>5</v>
      </c>
      <c r="F1" s="90" t="s">
        <v>667</v>
      </c>
      <c r="G1" s="89" t="s">
        <v>27</v>
      </c>
      <c r="H1" s="90" t="s">
        <v>668</v>
      </c>
      <c r="I1" s="89" t="s">
        <v>669</v>
      </c>
    </row>
    <row r="2" spans="1:9" x14ac:dyDescent="0.25">
      <c r="A2" s="1">
        <v>1</v>
      </c>
      <c r="B2" s="1" t="s">
        <v>156</v>
      </c>
      <c r="C2" s="1" t="s">
        <v>157</v>
      </c>
      <c r="D2" s="1" t="s">
        <v>158</v>
      </c>
      <c r="E2" s="1" t="s">
        <v>45</v>
      </c>
      <c r="F2" s="1">
        <v>6161000200</v>
      </c>
      <c r="G2" s="1" t="s">
        <v>45</v>
      </c>
      <c r="H2" t="str">
        <f>VLOOKUP(F2,Blad3!$1:$1048576,3,FALSE)</f>
        <v>61612000</v>
      </c>
      <c r="I2" s="13">
        <v>0.21</v>
      </c>
    </row>
    <row r="3" spans="1:9" x14ac:dyDescent="0.25">
      <c r="A3" s="1">
        <v>1</v>
      </c>
      <c r="B3" s="1" t="s">
        <v>156</v>
      </c>
      <c r="C3" s="1" t="s">
        <v>157</v>
      </c>
      <c r="D3" s="1" t="s">
        <v>158</v>
      </c>
      <c r="E3" s="1" t="s">
        <v>159</v>
      </c>
      <c r="F3" s="1">
        <v>6151000400</v>
      </c>
      <c r="G3" s="1" t="s">
        <v>160</v>
      </c>
      <c r="H3" t="str">
        <f>VLOOKUP(F3,Blad3!$1:$1048576,3,FALSE)</f>
        <v>61510000</v>
      </c>
      <c r="I3" s="13">
        <v>0.21</v>
      </c>
    </row>
    <row r="4" spans="1:9" x14ac:dyDescent="0.25">
      <c r="A4" s="1">
        <v>1</v>
      </c>
      <c r="B4" s="1" t="s">
        <v>156</v>
      </c>
      <c r="C4" s="1" t="s">
        <v>157</v>
      </c>
      <c r="D4" s="1" t="s">
        <v>158</v>
      </c>
      <c r="E4" s="1" t="s">
        <v>161</v>
      </c>
      <c r="F4" s="1">
        <v>6152000300</v>
      </c>
      <c r="G4" s="1" t="s">
        <v>43</v>
      </c>
      <c r="H4" t="str">
        <f>VLOOKUP(F4,Blad3!$1:$1048576,3,FALSE)</f>
        <v>61530000</v>
      </c>
      <c r="I4" s="13">
        <v>0.21</v>
      </c>
    </row>
    <row r="5" spans="1:9" x14ac:dyDescent="0.25">
      <c r="A5" s="1">
        <v>1</v>
      </c>
      <c r="B5" s="1" t="s">
        <v>156</v>
      </c>
      <c r="C5" s="1" t="s">
        <v>157</v>
      </c>
      <c r="D5" s="1" t="s">
        <v>158</v>
      </c>
      <c r="E5" s="1" t="s">
        <v>108</v>
      </c>
      <c r="F5" s="1">
        <v>6030000200</v>
      </c>
      <c r="G5" s="1" t="s">
        <v>109</v>
      </c>
      <c r="H5" t="str">
        <f>VLOOKUP(F5,Blad3!$1:$1048576,3,FALSE)</f>
        <v>60320000</v>
      </c>
      <c r="I5" s="13">
        <v>0.21</v>
      </c>
    </row>
    <row r="6" spans="1:9" x14ac:dyDescent="0.25">
      <c r="A6" s="1">
        <v>1</v>
      </c>
      <c r="B6" s="1" t="s">
        <v>156</v>
      </c>
      <c r="C6" s="1" t="s">
        <v>162</v>
      </c>
      <c r="D6" s="1" t="s">
        <v>158</v>
      </c>
      <c r="E6" s="1" t="s">
        <v>46</v>
      </c>
      <c r="F6" s="1">
        <v>6146000400</v>
      </c>
      <c r="G6" s="1" t="s">
        <v>47</v>
      </c>
      <c r="H6" t="str">
        <f>VLOOKUP(F6,Blad3!$1:$1048576,3,FALSE)</f>
        <v>61460000</v>
      </c>
      <c r="I6" s="13">
        <v>0.21</v>
      </c>
    </row>
    <row r="7" spans="1:9" x14ac:dyDescent="0.25">
      <c r="A7" s="21">
        <v>1</v>
      </c>
      <c r="B7" s="21" t="s">
        <v>156</v>
      </c>
      <c r="C7" s="21" t="s">
        <v>162</v>
      </c>
      <c r="D7" s="21" t="s">
        <v>158</v>
      </c>
      <c r="E7" s="24" t="s">
        <v>163</v>
      </c>
      <c r="F7" s="24">
        <v>6152000200</v>
      </c>
      <c r="G7" s="24" t="s">
        <v>164</v>
      </c>
      <c r="H7" t="str">
        <f>VLOOKUP(F7,Blad3!$1:$1048576,3,FALSE)</f>
        <v>61520002</v>
      </c>
      <c r="I7" s="26">
        <v>0.21</v>
      </c>
    </row>
    <row r="8" spans="1:9" x14ac:dyDescent="0.25">
      <c r="A8" s="1">
        <v>1</v>
      </c>
      <c r="B8" s="1" t="s">
        <v>156</v>
      </c>
      <c r="C8" s="1" t="s">
        <v>165</v>
      </c>
      <c r="D8" s="1" t="s">
        <v>166</v>
      </c>
      <c r="E8" s="1" t="s">
        <v>161</v>
      </c>
      <c r="F8" s="1">
        <v>6152000300</v>
      </c>
      <c r="G8" s="1" t="s">
        <v>43</v>
      </c>
      <c r="H8" t="str">
        <f>VLOOKUP(F8,Blad3!$1:$1048576,3,FALSE)</f>
        <v>61530000</v>
      </c>
      <c r="I8" s="13">
        <v>0.06</v>
      </c>
    </row>
    <row r="9" spans="1:9" x14ac:dyDescent="0.25">
      <c r="A9" s="1">
        <v>1</v>
      </c>
      <c r="B9" s="1" t="s">
        <v>156</v>
      </c>
      <c r="C9" s="1" t="s">
        <v>165</v>
      </c>
      <c r="D9" s="1" t="s">
        <v>166</v>
      </c>
      <c r="E9" s="1" t="s">
        <v>57</v>
      </c>
      <c r="F9" s="1">
        <v>6030000300</v>
      </c>
      <c r="G9" s="1" t="s">
        <v>58</v>
      </c>
      <c r="H9" t="str">
        <f>VLOOKUP(F9,Blad3!$1:$1048576,3,FALSE)</f>
        <v>60330000</v>
      </c>
      <c r="I9" s="13">
        <v>0.06</v>
      </c>
    </row>
    <row r="10" spans="1:9" x14ac:dyDescent="0.25">
      <c r="A10" s="1">
        <v>1</v>
      </c>
      <c r="B10" s="1" t="s">
        <v>156</v>
      </c>
      <c r="C10" s="1" t="s">
        <v>165</v>
      </c>
      <c r="D10" s="1" t="s">
        <v>166</v>
      </c>
      <c r="E10" s="1" t="s">
        <v>45</v>
      </c>
      <c r="F10" s="1">
        <v>6161000200</v>
      </c>
      <c r="G10" s="1" t="s">
        <v>45</v>
      </c>
      <c r="H10" t="str">
        <f>VLOOKUP(F10,Blad3!$1:$1048576,3,FALSE)</f>
        <v>61612000</v>
      </c>
      <c r="I10" s="13">
        <v>0.06</v>
      </c>
    </row>
    <row r="11" spans="1:9" x14ac:dyDescent="0.25">
      <c r="A11" s="1">
        <v>1</v>
      </c>
      <c r="B11" s="1" t="s">
        <v>156</v>
      </c>
      <c r="C11" s="1" t="s">
        <v>165</v>
      </c>
      <c r="D11" s="1" t="s">
        <v>166</v>
      </c>
      <c r="E11" s="1" t="s">
        <v>159</v>
      </c>
      <c r="F11" s="1">
        <v>6151000400</v>
      </c>
      <c r="G11" s="1" t="s">
        <v>160</v>
      </c>
      <c r="H11" t="str">
        <f>VLOOKUP(F11,Blad3!$1:$1048576,3,FALSE)</f>
        <v>61510000</v>
      </c>
      <c r="I11" s="13">
        <v>0.06</v>
      </c>
    </row>
    <row r="12" spans="1:9" x14ac:dyDescent="0.25">
      <c r="A12" s="1">
        <v>1</v>
      </c>
      <c r="B12" s="1" t="s">
        <v>156</v>
      </c>
      <c r="C12" s="1" t="s">
        <v>165</v>
      </c>
      <c r="D12" s="1" t="s">
        <v>166</v>
      </c>
      <c r="E12" s="1" t="s">
        <v>46</v>
      </c>
      <c r="F12" s="1">
        <v>6146000400</v>
      </c>
      <c r="G12" s="1" t="s">
        <v>47</v>
      </c>
      <c r="H12" t="str">
        <f>VLOOKUP(F12,Blad3!$1:$1048576,3,FALSE)</f>
        <v>61460000</v>
      </c>
      <c r="I12" s="13">
        <v>0.06</v>
      </c>
    </row>
    <row r="13" spans="1:9" x14ac:dyDescent="0.25">
      <c r="A13" s="1">
        <v>1</v>
      </c>
      <c r="B13" s="1" t="s">
        <v>156</v>
      </c>
      <c r="C13" s="1" t="s">
        <v>165</v>
      </c>
      <c r="D13" s="1" t="s">
        <v>166</v>
      </c>
      <c r="E13" s="1" t="s">
        <v>167</v>
      </c>
      <c r="F13" s="1">
        <v>6152000100</v>
      </c>
      <c r="G13" s="1" t="s">
        <v>168</v>
      </c>
      <c r="H13" t="str">
        <f>VLOOKUP(F13,Blad3!$1:$1048576,3,FALSE)</f>
        <v>61520001</v>
      </c>
      <c r="I13" s="13">
        <v>0.06</v>
      </c>
    </row>
    <row r="14" spans="1:9" x14ac:dyDescent="0.25">
      <c r="A14" s="21">
        <v>1</v>
      </c>
      <c r="B14" s="21" t="s">
        <v>156</v>
      </c>
      <c r="C14" s="21" t="s">
        <v>165</v>
      </c>
      <c r="D14" s="21" t="s">
        <v>166</v>
      </c>
      <c r="E14" s="24" t="s">
        <v>163</v>
      </c>
      <c r="F14" s="24">
        <v>6152000200</v>
      </c>
      <c r="G14" s="24" t="s">
        <v>164</v>
      </c>
      <c r="H14" t="str">
        <f>VLOOKUP(F14,Blad3!$1:$1048576,3,FALSE)</f>
        <v>61520002</v>
      </c>
      <c r="I14" s="26">
        <v>0.06</v>
      </c>
    </row>
    <row r="15" spans="1:9" x14ac:dyDescent="0.25">
      <c r="A15" s="1">
        <v>1</v>
      </c>
      <c r="B15" s="1" t="s">
        <v>156</v>
      </c>
      <c r="C15" s="1" t="s">
        <v>157</v>
      </c>
      <c r="D15" s="1" t="s">
        <v>169</v>
      </c>
      <c r="E15" s="1" t="s">
        <v>170</v>
      </c>
      <c r="F15" s="1">
        <v>6152000300</v>
      </c>
      <c r="G15" s="1" t="s">
        <v>43</v>
      </c>
      <c r="H15" t="str">
        <f>VLOOKUP(F15,Blad3!$1:$1048576,3,FALSE)</f>
        <v>61530000</v>
      </c>
      <c r="I15" s="13">
        <v>0.06</v>
      </c>
    </row>
    <row r="16" spans="1:9" x14ac:dyDescent="0.25">
      <c r="A16" s="1">
        <v>1</v>
      </c>
      <c r="B16" s="1" t="s">
        <v>156</v>
      </c>
      <c r="C16" s="1" t="s">
        <v>157</v>
      </c>
      <c r="D16" s="1" t="s">
        <v>169</v>
      </c>
      <c r="E16" s="1" t="s">
        <v>57</v>
      </c>
      <c r="F16" s="1">
        <v>6030000300</v>
      </c>
      <c r="G16" s="1" t="s">
        <v>58</v>
      </c>
      <c r="H16" t="str">
        <f>VLOOKUP(F16,Blad3!$1:$1048576,3,FALSE)</f>
        <v>60330000</v>
      </c>
      <c r="I16" s="13">
        <v>0.06</v>
      </c>
    </row>
    <row r="17" spans="1:9" x14ac:dyDescent="0.25">
      <c r="A17" s="1">
        <v>1</v>
      </c>
      <c r="B17" s="1" t="s">
        <v>156</v>
      </c>
      <c r="C17" s="1" t="s">
        <v>157</v>
      </c>
      <c r="D17" s="1" t="s">
        <v>169</v>
      </c>
      <c r="E17" s="1" t="s">
        <v>159</v>
      </c>
      <c r="F17" s="1">
        <v>6151000400</v>
      </c>
      <c r="G17" s="1" t="s">
        <v>160</v>
      </c>
      <c r="H17" t="str">
        <f>VLOOKUP(F17,Blad3!$1:$1048576,3,FALSE)</f>
        <v>61510000</v>
      </c>
      <c r="I17" s="13">
        <v>0.06</v>
      </c>
    </row>
    <row r="18" spans="1:9" x14ac:dyDescent="0.25">
      <c r="A18" s="1">
        <v>1</v>
      </c>
      <c r="B18" s="1" t="s">
        <v>156</v>
      </c>
      <c r="C18" s="1" t="s">
        <v>157</v>
      </c>
      <c r="D18" s="1" t="s">
        <v>171</v>
      </c>
      <c r="E18" s="1" t="s">
        <v>41</v>
      </c>
      <c r="F18" s="1">
        <v>6152000300</v>
      </c>
      <c r="G18" s="1" t="s">
        <v>43</v>
      </c>
      <c r="H18" t="str">
        <f>VLOOKUP(F18,Blad3!$1:$1048576,3,FALSE)</f>
        <v>61530000</v>
      </c>
      <c r="I18" s="13">
        <v>0.06</v>
      </c>
    </row>
    <row r="19" spans="1:9" x14ac:dyDescent="0.25">
      <c r="A19" s="1">
        <v>1</v>
      </c>
      <c r="B19" s="1" t="s">
        <v>156</v>
      </c>
      <c r="C19" s="1" t="s">
        <v>157</v>
      </c>
      <c r="D19" s="1" t="s">
        <v>171</v>
      </c>
      <c r="E19" s="1" t="s">
        <v>45</v>
      </c>
      <c r="F19" s="1">
        <v>6161000200</v>
      </c>
      <c r="G19" s="1" t="s">
        <v>45</v>
      </c>
      <c r="H19" t="str">
        <f>VLOOKUP(F19,Blad3!$1:$1048576,3,FALSE)</f>
        <v>61612000</v>
      </c>
      <c r="I19" s="13">
        <v>0.06</v>
      </c>
    </row>
    <row r="20" spans="1:9" x14ac:dyDescent="0.25">
      <c r="A20" s="1">
        <v>1</v>
      </c>
      <c r="B20" s="1" t="s">
        <v>156</v>
      </c>
      <c r="C20" s="1" t="s">
        <v>157</v>
      </c>
      <c r="D20" s="1" t="s">
        <v>171</v>
      </c>
      <c r="E20" s="1" t="s">
        <v>159</v>
      </c>
      <c r="F20" s="1">
        <v>6151000400</v>
      </c>
      <c r="G20" s="1" t="s">
        <v>160</v>
      </c>
      <c r="H20" t="str">
        <f>VLOOKUP(F20,Blad3!$1:$1048576,3,FALSE)</f>
        <v>61510000</v>
      </c>
      <c r="I20" s="13">
        <v>0.06</v>
      </c>
    </row>
    <row r="21" spans="1:9" x14ac:dyDescent="0.25">
      <c r="A21" s="1">
        <v>1</v>
      </c>
      <c r="B21" s="1" t="s">
        <v>156</v>
      </c>
      <c r="C21" s="1" t="s">
        <v>157</v>
      </c>
      <c r="D21" s="1" t="s">
        <v>171</v>
      </c>
      <c r="E21" s="1" t="s">
        <v>161</v>
      </c>
      <c r="F21" s="1">
        <v>6152000300</v>
      </c>
      <c r="G21" s="1" t="s">
        <v>43</v>
      </c>
      <c r="H21" t="str">
        <f>VLOOKUP(F21,Blad3!$1:$1048576,3,FALSE)</f>
        <v>61530000</v>
      </c>
      <c r="I21" s="13">
        <v>0.06</v>
      </c>
    </row>
    <row r="22" spans="1:9" x14ac:dyDescent="0.25">
      <c r="A22" s="1">
        <v>1</v>
      </c>
      <c r="B22" s="1" t="s">
        <v>156</v>
      </c>
      <c r="C22" s="1" t="s">
        <v>157</v>
      </c>
      <c r="D22" s="1" t="s">
        <v>171</v>
      </c>
      <c r="E22" s="1" t="s">
        <v>108</v>
      </c>
      <c r="F22" s="1">
        <v>6030000200</v>
      </c>
      <c r="G22" s="1" t="s">
        <v>109</v>
      </c>
      <c r="H22" t="str">
        <f>VLOOKUP(F22,Blad3!$1:$1048576,3,FALSE)</f>
        <v>60320000</v>
      </c>
      <c r="I22" s="13">
        <v>0.06</v>
      </c>
    </row>
    <row r="23" spans="1:9" x14ac:dyDescent="0.25">
      <c r="A23" s="1">
        <v>1</v>
      </c>
      <c r="B23" s="1" t="s">
        <v>156</v>
      </c>
      <c r="C23" s="1" t="s">
        <v>157</v>
      </c>
      <c r="D23" s="1" t="s">
        <v>171</v>
      </c>
      <c r="E23" s="1" t="s">
        <v>46</v>
      </c>
      <c r="F23" s="1">
        <v>6146000400</v>
      </c>
      <c r="G23" s="1" t="s">
        <v>47</v>
      </c>
      <c r="H23" t="str">
        <f>VLOOKUP(F23,Blad3!$1:$1048576,3,FALSE)</f>
        <v>61460000</v>
      </c>
      <c r="I23" s="13">
        <v>0.06</v>
      </c>
    </row>
    <row r="24" spans="1:9" x14ac:dyDescent="0.25">
      <c r="A24" s="1">
        <v>1</v>
      </c>
      <c r="B24" s="1" t="s">
        <v>156</v>
      </c>
      <c r="C24" s="1" t="s">
        <v>157</v>
      </c>
      <c r="D24" s="1" t="s">
        <v>171</v>
      </c>
      <c r="E24" s="1" t="s">
        <v>119</v>
      </c>
      <c r="F24" s="1">
        <v>6030000100</v>
      </c>
      <c r="G24" s="1" t="s">
        <v>120</v>
      </c>
      <c r="H24" t="str">
        <f>VLOOKUP(F24,Blad3!$1:$1048576,3,FALSE)</f>
        <v>60310100</v>
      </c>
      <c r="I24" s="13">
        <v>0.06</v>
      </c>
    </row>
    <row r="25" spans="1:9" x14ac:dyDescent="0.25">
      <c r="A25" s="21">
        <v>1</v>
      </c>
      <c r="B25" s="21" t="s">
        <v>156</v>
      </c>
      <c r="C25" s="21" t="s">
        <v>157</v>
      </c>
      <c r="D25" s="21" t="s">
        <v>171</v>
      </c>
      <c r="E25" s="24" t="s">
        <v>163</v>
      </c>
      <c r="F25" s="24">
        <v>6152000200</v>
      </c>
      <c r="G25" s="24" t="s">
        <v>164</v>
      </c>
      <c r="H25" t="str">
        <f>VLOOKUP(F25,Blad3!$1:$1048576,3,FALSE)</f>
        <v>61520002</v>
      </c>
      <c r="I25" s="26">
        <v>0.06</v>
      </c>
    </row>
    <row r="26" spans="1:9" x14ac:dyDescent="0.25">
      <c r="A26" s="1">
        <v>1</v>
      </c>
      <c r="B26" s="1" t="s">
        <v>156</v>
      </c>
      <c r="C26" s="1" t="s">
        <v>165</v>
      </c>
      <c r="D26" s="1" t="s">
        <v>162</v>
      </c>
      <c r="E26" s="1" t="s">
        <v>170</v>
      </c>
      <c r="F26" s="1">
        <v>6152000300</v>
      </c>
      <c r="G26" s="1" t="s">
        <v>43</v>
      </c>
      <c r="H26" t="str">
        <f>VLOOKUP(F26,Blad3!$1:$1048576,3,FALSE)</f>
        <v>61530000</v>
      </c>
      <c r="I26" s="13">
        <v>0.06</v>
      </c>
    </row>
    <row r="27" spans="1:9" x14ac:dyDescent="0.25">
      <c r="A27" s="1">
        <v>1</v>
      </c>
      <c r="B27" s="1" t="s">
        <v>156</v>
      </c>
      <c r="C27" s="1" t="s">
        <v>165</v>
      </c>
      <c r="D27" s="1" t="s">
        <v>162</v>
      </c>
      <c r="E27" s="1" t="s">
        <v>57</v>
      </c>
      <c r="F27" s="1">
        <v>6030000300</v>
      </c>
      <c r="G27" s="1" t="s">
        <v>58</v>
      </c>
      <c r="H27" t="str">
        <f>VLOOKUP(F27,Blad3!$1:$1048576,3,FALSE)</f>
        <v>60330000</v>
      </c>
      <c r="I27" s="13">
        <v>0.06</v>
      </c>
    </row>
    <row r="28" spans="1:9" x14ac:dyDescent="0.25">
      <c r="A28" s="1">
        <v>1</v>
      </c>
      <c r="B28" s="1" t="s">
        <v>156</v>
      </c>
      <c r="C28" s="1" t="s">
        <v>165</v>
      </c>
      <c r="D28" s="1" t="s">
        <v>162</v>
      </c>
      <c r="E28" s="1" t="s">
        <v>45</v>
      </c>
      <c r="F28" s="1">
        <v>6161000200</v>
      </c>
      <c r="G28" s="1" t="s">
        <v>45</v>
      </c>
      <c r="H28" t="str">
        <f>VLOOKUP(F28,Blad3!$1:$1048576,3,FALSE)</f>
        <v>61612000</v>
      </c>
      <c r="I28" s="13">
        <v>0.06</v>
      </c>
    </row>
    <row r="29" spans="1:9" x14ac:dyDescent="0.25">
      <c r="A29" s="1">
        <v>1</v>
      </c>
      <c r="B29" s="1" t="s">
        <v>156</v>
      </c>
      <c r="C29" s="1" t="s">
        <v>165</v>
      </c>
      <c r="D29" s="1" t="s">
        <v>162</v>
      </c>
      <c r="E29" s="1" t="s">
        <v>159</v>
      </c>
      <c r="F29" s="1">
        <v>6151000400</v>
      </c>
      <c r="G29" s="1" t="s">
        <v>160</v>
      </c>
      <c r="H29" t="str">
        <f>VLOOKUP(F29,Blad3!$1:$1048576,3,FALSE)</f>
        <v>61510000</v>
      </c>
      <c r="I29" s="13">
        <v>0.06</v>
      </c>
    </row>
    <row r="30" spans="1:9" x14ac:dyDescent="0.25">
      <c r="A30" s="1">
        <v>1</v>
      </c>
      <c r="B30" s="1" t="s">
        <v>156</v>
      </c>
      <c r="C30" s="1" t="s">
        <v>165</v>
      </c>
      <c r="D30" s="1" t="s">
        <v>162</v>
      </c>
      <c r="E30" s="1" t="s">
        <v>161</v>
      </c>
      <c r="F30" s="1">
        <v>6152000300</v>
      </c>
      <c r="G30" s="1" t="s">
        <v>43</v>
      </c>
      <c r="H30" t="str">
        <f>VLOOKUP(F30,Blad3!$1:$1048576,3,FALSE)</f>
        <v>61530000</v>
      </c>
      <c r="I30" s="13">
        <v>0.06</v>
      </c>
    </row>
    <row r="31" spans="1:9" x14ac:dyDescent="0.25">
      <c r="A31" s="1">
        <v>1</v>
      </c>
      <c r="B31" s="1" t="s">
        <v>156</v>
      </c>
      <c r="C31" s="1" t="s">
        <v>165</v>
      </c>
      <c r="D31" s="1" t="s">
        <v>162</v>
      </c>
      <c r="E31" s="1" t="s">
        <v>108</v>
      </c>
      <c r="F31" s="1">
        <v>6030000200</v>
      </c>
      <c r="G31" s="1" t="s">
        <v>109</v>
      </c>
      <c r="H31" t="str">
        <f>VLOOKUP(F31,Blad3!$1:$1048576,3,FALSE)</f>
        <v>60320000</v>
      </c>
      <c r="I31" s="13">
        <v>0.06</v>
      </c>
    </row>
    <row r="32" spans="1:9" x14ac:dyDescent="0.25">
      <c r="A32" s="1">
        <v>1</v>
      </c>
      <c r="B32" s="1" t="s">
        <v>156</v>
      </c>
      <c r="C32" s="1" t="s">
        <v>165</v>
      </c>
      <c r="D32" s="1" t="s">
        <v>162</v>
      </c>
      <c r="E32" s="1" t="s">
        <v>46</v>
      </c>
      <c r="F32" s="1">
        <v>6146000400</v>
      </c>
      <c r="G32" s="1" t="s">
        <v>47</v>
      </c>
      <c r="H32" t="str">
        <f>VLOOKUP(F32,Blad3!$1:$1048576,3,FALSE)</f>
        <v>61460000</v>
      </c>
      <c r="I32" s="13">
        <v>0.06</v>
      </c>
    </row>
    <row r="33" spans="1:9" x14ac:dyDescent="0.25">
      <c r="A33" s="1">
        <v>1</v>
      </c>
      <c r="B33" s="1" t="s">
        <v>156</v>
      </c>
      <c r="C33" s="1" t="s">
        <v>165</v>
      </c>
      <c r="D33" s="1" t="s">
        <v>162</v>
      </c>
      <c r="E33" s="1" t="s">
        <v>119</v>
      </c>
      <c r="F33" s="1">
        <v>6030000100</v>
      </c>
      <c r="G33" s="1" t="s">
        <v>120</v>
      </c>
      <c r="H33" t="str">
        <f>VLOOKUP(F33,Blad3!$1:$1048576,3,FALSE)</f>
        <v>60310100</v>
      </c>
      <c r="I33" s="13">
        <v>0.06</v>
      </c>
    </row>
    <row r="34" spans="1:9" x14ac:dyDescent="0.25">
      <c r="A34" s="1">
        <v>1</v>
      </c>
      <c r="B34" s="1" t="s">
        <v>156</v>
      </c>
      <c r="C34" s="1" t="s">
        <v>165</v>
      </c>
      <c r="D34" s="1" t="s">
        <v>173</v>
      </c>
      <c r="E34" s="1" t="s">
        <v>170</v>
      </c>
      <c r="F34" s="1">
        <v>6152000300</v>
      </c>
      <c r="G34" s="1" t="s">
        <v>43</v>
      </c>
      <c r="H34" t="str">
        <f>VLOOKUP(F34,Blad3!$1:$1048576,3,FALSE)</f>
        <v>61530000</v>
      </c>
      <c r="I34" s="13">
        <v>0.21</v>
      </c>
    </row>
    <row r="35" spans="1:9" x14ac:dyDescent="0.25">
      <c r="A35" s="1">
        <v>1</v>
      </c>
      <c r="B35" s="1" t="s">
        <v>156</v>
      </c>
      <c r="C35" s="1" t="s">
        <v>165</v>
      </c>
      <c r="D35" s="1" t="s">
        <v>173</v>
      </c>
      <c r="E35" s="1" t="s">
        <v>159</v>
      </c>
      <c r="F35" s="1">
        <v>6151000400</v>
      </c>
      <c r="G35" s="1" t="s">
        <v>160</v>
      </c>
      <c r="H35" t="str">
        <f>VLOOKUP(F35,Blad3!$1:$1048576,3,FALSE)</f>
        <v>61510000</v>
      </c>
      <c r="I35" s="13">
        <v>0.21</v>
      </c>
    </row>
    <row r="36" spans="1:9" x14ac:dyDescent="0.25">
      <c r="A36" s="1">
        <v>1</v>
      </c>
      <c r="B36" s="1" t="s">
        <v>156</v>
      </c>
      <c r="C36" s="1" t="s">
        <v>165</v>
      </c>
      <c r="D36" s="1" t="s">
        <v>173</v>
      </c>
      <c r="E36" s="1" t="s">
        <v>108</v>
      </c>
      <c r="F36" s="1">
        <v>6030000200</v>
      </c>
      <c r="G36" s="1" t="s">
        <v>109</v>
      </c>
      <c r="H36" t="str">
        <f>VLOOKUP(F36,Blad3!$1:$1048576,3,FALSE)</f>
        <v>60320000</v>
      </c>
      <c r="I36" s="13">
        <v>0.21</v>
      </c>
    </row>
    <row r="37" spans="1:9" x14ac:dyDescent="0.25">
      <c r="A37" s="1">
        <v>1</v>
      </c>
      <c r="B37" s="1" t="s">
        <v>156</v>
      </c>
      <c r="C37" s="1" t="s">
        <v>165</v>
      </c>
      <c r="D37" s="1" t="s">
        <v>290</v>
      </c>
      <c r="E37" s="1" t="s">
        <v>159</v>
      </c>
      <c r="F37" s="1">
        <v>6151000400</v>
      </c>
      <c r="G37" s="1" t="s">
        <v>160</v>
      </c>
      <c r="H37" t="str">
        <f>VLOOKUP(F37,Blad3!$1:$1048576,3,FALSE)</f>
        <v>61510000</v>
      </c>
      <c r="I37" s="13">
        <v>0.06</v>
      </c>
    </row>
    <row r="38" spans="1:9" x14ac:dyDescent="0.25">
      <c r="A38" s="1">
        <v>1</v>
      </c>
      <c r="B38" s="1" t="s">
        <v>156</v>
      </c>
      <c r="C38" s="1" t="s">
        <v>165</v>
      </c>
      <c r="D38" s="1" t="s">
        <v>290</v>
      </c>
      <c r="E38" s="1" t="s">
        <v>161</v>
      </c>
      <c r="F38" s="1">
        <v>6152000300</v>
      </c>
      <c r="G38" s="1" t="s">
        <v>43</v>
      </c>
      <c r="H38" t="str">
        <f>VLOOKUP(F38,Blad3!$1:$1048576,3,FALSE)</f>
        <v>61530000</v>
      </c>
      <c r="I38" s="13">
        <v>0.06</v>
      </c>
    </row>
    <row r="39" spans="1:9" x14ac:dyDescent="0.25">
      <c r="A39" s="1">
        <v>1</v>
      </c>
      <c r="B39" s="1" t="s">
        <v>156</v>
      </c>
      <c r="C39" s="1" t="s">
        <v>291</v>
      </c>
      <c r="D39" s="1" t="s">
        <v>292</v>
      </c>
      <c r="E39" s="1" t="s">
        <v>170</v>
      </c>
      <c r="F39" s="1">
        <v>6152000300</v>
      </c>
      <c r="G39" s="1" t="s">
        <v>43</v>
      </c>
      <c r="H39" t="str">
        <f>VLOOKUP(F39,Blad3!$1:$1048576,3,FALSE)</f>
        <v>61530000</v>
      </c>
      <c r="I39" s="13">
        <v>0.21</v>
      </c>
    </row>
    <row r="40" spans="1:9" x14ac:dyDescent="0.25">
      <c r="A40" s="1">
        <v>1</v>
      </c>
      <c r="B40" s="1" t="s">
        <v>156</v>
      </c>
      <c r="C40" s="1" t="s">
        <v>291</v>
      </c>
      <c r="D40" s="1" t="s">
        <v>292</v>
      </c>
      <c r="E40" s="1" t="s">
        <v>161</v>
      </c>
      <c r="F40" s="1">
        <v>6151000400</v>
      </c>
      <c r="G40" s="1" t="s">
        <v>160</v>
      </c>
      <c r="H40" t="str">
        <f>VLOOKUP(F40,Blad3!$1:$1048576,3,FALSE)</f>
        <v>61510000</v>
      </c>
      <c r="I40" s="13">
        <v>0.21</v>
      </c>
    </row>
    <row r="41" spans="1:9" x14ac:dyDescent="0.25">
      <c r="A41" s="1">
        <v>1</v>
      </c>
      <c r="B41" s="1" t="s">
        <v>156</v>
      </c>
      <c r="C41" s="1" t="s">
        <v>291</v>
      </c>
      <c r="D41" s="1" t="s">
        <v>292</v>
      </c>
      <c r="E41" s="1" t="s">
        <v>46</v>
      </c>
      <c r="F41" s="1">
        <v>6146000400</v>
      </c>
      <c r="G41" s="1" t="s">
        <v>47</v>
      </c>
      <c r="H41" t="str">
        <f>VLOOKUP(F41,Blad3!$1:$1048576,3,FALSE)</f>
        <v>61460000</v>
      </c>
      <c r="I41" s="13">
        <v>0.21</v>
      </c>
    </row>
    <row r="42" spans="1:9" x14ac:dyDescent="0.25">
      <c r="A42" s="1">
        <v>1</v>
      </c>
      <c r="B42" s="1" t="s">
        <v>156</v>
      </c>
      <c r="C42" s="1" t="s">
        <v>291</v>
      </c>
      <c r="D42" s="1" t="s">
        <v>294</v>
      </c>
      <c r="E42" s="1" t="s">
        <v>170</v>
      </c>
      <c r="F42" s="1">
        <v>6152000300</v>
      </c>
      <c r="G42" s="1" t="s">
        <v>43</v>
      </c>
      <c r="H42" t="str">
        <f>VLOOKUP(F42,Blad3!$1:$1048576,3,FALSE)</f>
        <v>61530000</v>
      </c>
      <c r="I42" s="13">
        <v>0</v>
      </c>
    </row>
    <row r="43" spans="1:9" x14ac:dyDescent="0.25">
      <c r="A43" s="1">
        <v>1</v>
      </c>
      <c r="B43" s="1" t="s">
        <v>156</v>
      </c>
      <c r="C43" s="1" t="s">
        <v>291</v>
      </c>
      <c r="D43" s="1" t="s">
        <v>294</v>
      </c>
      <c r="E43" s="1" t="s">
        <v>161</v>
      </c>
      <c r="F43" s="1">
        <v>6151000400</v>
      </c>
      <c r="G43" s="1" t="s">
        <v>160</v>
      </c>
      <c r="H43" t="str">
        <f>VLOOKUP(F43,Blad3!$1:$1048576,3,FALSE)</f>
        <v>61510000</v>
      </c>
      <c r="I43" s="13">
        <v>0</v>
      </c>
    </row>
    <row r="44" spans="1:9" x14ac:dyDescent="0.25">
      <c r="A44" s="1">
        <v>1</v>
      </c>
      <c r="B44" s="1" t="s">
        <v>156</v>
      </c>
      <c r="C44" s="1" t="s">
        <v>291</v>
      </c>
      <c r="D44" s="1" t="s">
        <v>294</v>
      </c>
      <c r="E44" s="1" t="s">
        <v>46</v>
      </c>
      <c r="F44" s="1">
        <v>6146000400</v>
      </c>
      <c r="G44" s="1" t="s">
        <v>47</v>
      </c>
      <c r="H44" t="str">
        <f>VLOOKUP(F44,Blad3!$1:$1048576,3,FALSE)</f>
        <v>61460000</v>
      </c>
      <c r="I44" s="13">
        <v>0</v>
      </c>
    </row>
    <row r="45" spans="1:9" x14ac:dyDescent="0.25">
      <c r="A45" s="1">
        <v>1</v>
      </c>
      <c r="B45" s="1" t="s">
        <v>156</v>
      </c>
      <c r="C45" s="1" t="s">
        <v>320</v>
      </c>
      <c r="D45" s="1" t="s">
        <v>321</v>
      </c>
      <c r="E45" s="1" t="s">
        <v>41</v>
      </c>
      <c r="F45" s="1">
        <v>6141000100</v>
      </c>
      <c r="G45" s="1" t="s">
        <v>92</v>
      </c>
      <c r="H45" t="str">
        <f>VLOOKUP(F45,Blad3!$1:$1048576,3,FALSE)</f>
        <v>61410000</v>
      </c>
      <c r="I45" s="13">
        <v>0.21</v>
      </c>
    </row>
    <row r="46" spans="1:9" x14ac:dyDescent="0.25">
      <c r="A46" s="1">
        <v>1</v>
      </c>
      <c r="B46" s="1" t="s">
        <v>156</v>
      </c>
      <c r="C46" s="1" t="s">
        <v>320</v>
      </c>
      <c r="D46" s="1" t="s">
        <v>322</v>
      </c>
      <c r="E46" s="1" t="s">
        <v>41</v>
      </c>
      <c r="F46" s="1">
        <v>6152000300</v>
      </c>
      <c r="G46" s="1" t="s">
        <v>43</v>
      </c>
      <c r="H46" t="str">
        <f>VLOOKUP(F46,Blad3!$1:$1048576,3,FALSE)</f>
        <v>61530000</v>
      </c>
      <c r="I46" s="13">
        <v>0.06</v>
      </c>
    </row>
    <row r="47" spans="1:9" x14ac:dyDescent="0.25">
      <c r="A47" s="1">
        <v>1</v>
      </c>
      <c r="B47" s="1" t="s">
        <v>156</v>
      </c>
      <c r="C47" s="1" t="s">
        <v>165</v>
      </c>
      <c r="D47" s="1" t="s">
        <v>324</v>
      </c>
      <c r="E47" s="1" t="s">
        <v>57</v>
      </c>
      <c r="F47" s="1">
        <v>6030000300</v>
      </c>
      <c r="G47" s="1" t="s">
        <v>58</v>
      </c>
      <c r="H47" t="str">
        <f>VLOOKUP(F47,Blad3!$1:$1048576,3,FALSE)</f>
        <v>60330000</v>
      </c>
      <c r="I47" s="13">
        <v>0.06</v>
      </c>
    </row>
    <row r="48" spans="1:9" x14ac:dyDescent="0.25">
      <c r="A48" s="1">
        <v>1</v>
      </c>
      <c r="B48" s="1" t="s">
        <v>156</v>
      </c>
      <c r="C48" s="1" t="s">
        <v>165</v>
      </c>
      <c r="D48" s="1" t="s">
        <v>325</v>
      </c>
      <c r="E48" s="1" t="s">
        <v>57</v>
      </c>
      <c r="F48" s="1">
        <v>6030000300</v>
      </c>
      <c r="G48" s="1" t="s">
        <v>58</v>
      </c>
      <c r="H48" t="str">
        <f>VLOOKUP(F48,Blad3!$1:$1048576,3,FALSE)</f>
        <v>60330000</v>
      </c>
      <c r="I48" s="13">
        <v>0.06</v>
      </c>
    </row>
    <row r="49" spans="1:9" x14ac:dyDescent="0.25">
      <c r="A49" s="1">
        <v>1</v>
      </c>
      <c r="B49" s="1" t="s">
        <v>156</v>
      </c>
      <c r="C49" s="1" t="s">
        <v>165</v>
      </c>
      <c r="D49" s="1" t="s">
        <v>326</v>
      </c>
      <c r="E49" s="1" t="s">
        <v>57</v>
      </c>
      <c r="F49" s="1">
        <v>6030000300</v>
      </c>
      <c r="G49" s="1" t="s">
        <v>58</v>
      </c>
      <c r="H49" t="str">
        <f>VLOOKUP(F49,Blad3!$1:$1048576,3,FALSE)</f>
        <v>60330000</v>
      </c>
      <c r="I49" s="13">
        <v>0.06</v>
      </c>
    </row>
    <row r="50" spans="1:9" x14ac:dyDescent="0.25">
      <c r="A50" s="1">
        <v>2</v>
      </c>
      <c r="B50" s="1" t="s">
        <v>105</v>
      </c>
      <c r="C50" s="1" t="s">
        <v>106</v>
      </c>
      <c r="D50" s="1" t="s">
        <v>107</v>
      </c>
      <c r="E50" s="1" t="s">
        <v>41</v>
      </c>
      <c r="F50" s="1">
        <v>6146000900</v>
      </c>
      <c r="G50" s="1" t="s">
        <v>56</v>
      </c>
      <c r="H50" t="str">
        <f>VLOOKUP(F50,Blad3!$1:$1048576,3,FALSE)</f>
        <v>61490000</v>
      </c>
      <c r="I50" s="13">
        <v>0.21</v>
      </c>
    </row>
    <row r="51" spans="1:9" x14ac:dyDescent="0.25">
      <c r="A51" s="1">
        <v>2</v>
      </c>
      <c r="B51" s="1" t="s">
        <v>105</v>
      </c>
      <c r="C51" s="1" t="s">
        <v>106</v>
      </c>
      <c r="D51" s="1" t="s">
        <v>107</v>
      </c>
      <c r="E51" s="1" t="s">
        <v>45</v>
      </c>
      <c r="F51" s="1">
        <v>6161000200</v>
      </c>
      <c r="G51" s="1" t="s">
        <v>45</v>
      </c>
      <c r="H51" t="str">
        <f>VLOOKUP(F51,Blad3!$1:$1048576,3,FALSE)</f>
        <v>61612000</v>
      </c>
      <c r="I51" s="13">
        <v>0.21</v>
      </c>
    </row>
    <row r="52" spans="1:9" x14ac:dyDescent="0.25">
      <c r="A52" s="1">
        <v>2</v>
      </c>
      <c r="B52" s="1" t="s">
        <v>105</v>
      </c>
      <c r="C52" s="1" t="s">
        <v>106</v>
      </c>
      <c r="D52" s="1" t="s">
        <v>107</v>
      </c>
      <c r="E52" s="1" t="s">
        <v>108</v>
      </c>
      <c r="F52" s="1">
        <v>6030000200</v>
      </c>
      <c r="G52" s="1" t="s">
        <v>109</v>
      </c>
      <c r="H52" t="str">
        <f>VLOOKUP(F52,Blad3!$1:$1048576,3,FALSE)</f>
        <v>60320000</v>
      </c>
      <c r="I52" s="13">
        <v>0.21</v>
      </c>
    </row>
    <row r="53" spans="1:9" x14ac:dyDescent="0.25">
      <c r="A53" s="1">
        <v>2</v>
      </c>
      <c r="B53" s="1" t="s">
        <v>105</v>
      </c>
      <c r="C53" s="1" t="s">
        <v>106</v>
      </c>
      <c r="D53" s="1" t="s">
        <v>111</v>
      </c>
      <c r="E53" s="1" t="s">
        <v>41</v>
      </c>
      <c r="F53" s="1">
        <v>6146000900</v>
      </c>
      <c r="G53" s="1" t="s">
        <v>56</v>
      </c>
      <c r="H53" t="str">
        <f>VLOOKUP(F53,Blad3!$1:$1048576,3,FALSE)</f>
        <v>61490000</v>
      </c>
      <c r="I53" s="13">
        <v>0.21</v>
      </c>
    </row>
    <row r="54" spans="1:9" x14ac:dyDescent="0.25">
      <c r="A54" s="1">
        <v>2</v>
      </c>
      <c r="B54" s="1" t="s">
        <v>105</v>
      </c>
      <c r="C54" s="1" t="s">
        <v>106</v>
      </c>
      <c r="D54" s="1" t="s">
        <v>111</v>
      </c>
      <c r="E54" s="1" t="s">
        <v>45</v>
      </c>
      <c r="F54" s="1">
        <v>6161000200</v>
      </c>
      <c r="G54" s="1" t="s">
        <v>45</v>
      </c>
      <c r="H54" t="str">
        <f>VLOOKUP(F54,Blad3!$1:$1048576,3,FALSE)</f>
        <v>61612000</v>
      </c>
      <c r="I54" s="13">
        <v>0.21</v>
      </c>
    </row>
    <row r="55" spans="1:9" x14ac:dyDescent="0.25">
      <c r="A55" s="1">
        <v>2</v>
      </c>
      <c r="B55" s="1" t="s">
        <v>105</v>
      </c>
      <c r="C55" s="1" t="s">
        <v>106</v>
      </c>
      <c r="D55" s="1" t="s">
        <v>111</v>
      </c>
      <c r="E55" s="1" t="s">
        <v>108</v>
      </c>
      <c r="F55" s="1">
        <v>6030000200</v>
      </c>
      <c r="G55" s="1" t="s">
        <v>109</v>
      </c>
      <c r="H55" t="str">
        <f>VLOOKUP(F55,Blad3!$1:$1048576,3,FALSE)</f>
        <v>60320000</v>
      </c>
      <c r="I55" s="13">
        <v>0.21</v>
      </c>
    </row>
    <row r="56" spans="1:9" x14ac:dyDescent="0.25">
      <c r="A56" s="1">
        <v>2</v>
      </c>
      <c r="B56" s="1" t="s">
        <v>105</v>
      </c>
      <c r="C56" s="1" t="s">
        <v>146</v>
      </c>
      <c r="D56" s="1" t="s">
        <v>147</v>
      </c>
      <c r="E56" s="1" t="s">
        <v>41</v>
      </c>
      <c r="F56" s="1">
        <v>6141100100</v>
      </c>
      <c r="G56" s="1" t="s">
        <v>66</v>
      </c>
      <c r="H56" t="str">
        <f>VLOOKUP(F56,Blad3!$1:$1048576,3,FALSE)</f>
        <v>61411000</v>
      </c>
      <c r="I56" s="13">
        <v>0.21</v>
      </c>
    </row>
    <row r="57" spans="1:9" x14ac:dyDescent="0.25">
      <c r="A57" s="1">
        <v>2</v>
      </c>
      <c r="B57" s="1" t="s">
        <v>105</v>
      </c>
      <c r="C57" s="1" t="s">
        <v>146</v>
      </c>
      <c r="D57" s="1" t="s">
        <v>147</v>
      </c>
      <c r="E57" s="1" t="s">
        <v>45</v>
      </c>
      <c r="F57" s="1">
        <v>6161000200</v>
      </c>
      <c r="G57" s="1" t="s">
        <v>45</v>
      </c>
      <c r="H57" t="str">
        <f>VLOOKUP(F57,Blad3!$1:$1048576,3,FALSE)</f>
        <v>61612000</v>
      </c>
      <c r="I57" s="13">
        <v>0.21</v>
      </c>
    </row>
    <row r="58" spans="1:9" x14ac:dyDescent="0.25">
      <c r="A58" s="1">
        <v>2</v>
      </c>
      <c r="B58" s="1" t="s">
        <v>105</v>
      </c>
      <c r="C58" s="1" t="s">
        <v>106</v>
      </c>
      <c r="D58" s="1" t="s">
        <v>281</v>
      </c>
      <c r="E58" s="1" t="s">
        <v>41</v>
      </c>
      <c r="F58" s="1">
        <v>6146000900</v>
      </c>
      <c r="G58" s="1" t="s">
        <v>56</v>
      </c>
      <c r="H58" t="str">
        <f>VLOOKUP(F58,Blad3!$1:$1048576,3,FALSE)</f>
        <v>61490000</v>
      </c>
      <c r="I58" s="13">
        <v>0.21</v>
      </c>
    </row>
    <row r="59" spans="1:9" x14ac:dyDescent="0.25">
      <c r="A59" s="1">
        <v>2</v>
      </c>
      <c r="B59" s="1" t="s">
        <v>105</v>
      </c>
      <c r="C59" s="1" t="s">
        <v>106</v>
      </c>
      <c r="D59" s="1" t="s">
        <v>281</v>
      </c>
      <c r="E59" s="1" t="s">
        <v>108</v>
      </c>
      <c r="F59" s="1">
        <v>6030000200</v>
      </c>
      <c r="G59" s="1" t="s">
        <v>109</v>
      </c>
      <c r="H59" t="str">
        <f>VLOOKUP(F59,Blad3!$1:$1048576,3,FALSE)</f>
        <v>60320000</v>
      </c>
      <c r="I59" s="13">
        <v>0.21</v>
      </c>
    </row>
    <row r="60" spans="1:9" x14ac:dyDescent="0.25">
      <c r="A60" s="1">
        <v>2</v>
      </c>
      <c r="B60" s="1" t="s">
        <v>105</v>
      </c>
      <c r="C60" s="1" t="s">
        <v>106</v>
      </c>
      <c r="D60" s="1" t="s">
        <v>281</v>
      </c>
      <c r="E60" s="1" t="s">
        <v>119</v>
      </c>
      <c r="F60" s="1">
        <v>6030000100</v>
      </c>
      <c r="G60" s="1" t="s">
        <v>120</v>
      </c>
      <c r="H60" t="str">
        <f>VLOOKUP(F60,Blad3!$1:$1048576,3,FALSE)</f>
        <v>60310100</v>
      </c>
      <c r="I60" s="13">
        <v>0.21</v>
      </c>
    </row>
    <row r="61" spans="1:9" x14ac:dyDescent="0.25">
      <c r="A61" s="1">
        <v>2</v>
      </c>
      <c r="B61" s="1" t="s">
        <v>105</v>
      </c>
      <c r="C61" s="1" t="s">
        <v>146</v>
      </c>
      <c r="D61" s="1" t="s">
        <v>328</v>
      </c>
      <c r="E61" s="1" t="s">
        <v>41</v>
      </c>
      <c r="F61" s="1">
        <v>6146000900</v>
      </c>
      <c r="G61" s="1" t="s">
        <v>56</v>
      </c>
      <c r="H61" t="str">
        <f>VLOOKUP(F61,Blad3!$1:$1048576,3,FALSE)</f>
        <v>61490000</v>
      </c>
      <c r="I61" s="13">
        <v>0.21</v>
      </c>
    </row>
    <row r="62" spans="1:9" x14ac:dyDescent="0.25">
      <c r="A62" s="1">
        <v>2</v>
      </c>
      <c r="B62" s="1" t="s">
        <v>105</v>
      </c>
      <c r="C62" s="1" t="s">
        <v>146</v>
      </c>
      <c r="D62" s="1" t="s">
        <v>330</v>
      </c>
      <c r="E62" s="1" t="s">
        <v>41</v>
      </c>
      <c r="F62" s="1">
        <v>6146000900</v>
      </c>
      <c r="G62" s="1" t="s">
        <v>56</v>
      </c>
      <c r="H62" t="str">
        <f>VLOOKUP(F62,Blad3!$1:$1048576,3,FALSE)</f>
        <v>61490000</v>
      </c>
      <c r="I62" s="13">
        <v>0.21</v>
      </c>
    </row>
    <row r="63" spans="1:9" x14ac:dyDescent="0.25">
      <c r="A63" s="1">
        <v>2</v>
      </c>
      <c r="B63" s="1" t="s">
        <v>105</v>
      </c>
      <c r="C63" s="1" t="s">
        <v>106</v>
      </c>
      <c r="D63" s="1" t="s">
        <v>331</v>
      </c>
      <c r="E63" s="1" t="s">
        <v>41</v>
      </c>
      <c r="F63" s="1">
        <v>6146000900</v>
      </c>
      <c r="G63" s="1" t="s">
        <v>56</v>
      </c>
      <c r="H63" t="str">
        <f>VLOOKUP(F63,Blad3!$1:$1048576,3,FALSE)</f>
        <v>61490000</v>
      </c>
      <c r="I63" s="13">
        <v>0.21</v>
      </c>
    </row>
    <row r="64" spans="1:9" x14ac:dyDescent="0.25">
      <c r="A64" s="1">
        <v>2</v>
      </c>
      <c r="B64" s="1" t="s">
        <v>105</v>
      </c>
      <c r="C64" s="1" t="s">
        <v>106</v>
      </c>
      <c r="D64" s="1" t="s">
        <v>333</v>
      </c>
      <c r="E64" s="1" t="s">
        <v>41</v>
      </c>
      <c r="F64" s="1">
        <v>6146000900</v>
      </c>
      <c r="G64" s="1" t="s">
        <v>56</v>
      </c>
      <c r="H64" t="str">
        <f>VLOOKUP(F64,Blad3!$1:$1048576,3,FALSE)</f>
        <v>61490000</v>
      </c>
      <c r="I64" s="13">
        <v>0.21</v>
      </c>
    </row>
    <row r="65" spans="1:9" x14ac:dyDescent="0.25">
      <c r="A65" s="1">
        <v>2</v>
      </c>
      <c r="B65" s="1" t="s">
        <v>105</v>
      </c>
      <c r="C65" s="1" t="s">
        <v>106</v>
      </c>
      <c r="D65" s="1" t="s">
        <v>334</v>
      </c>
      <c r="E65" s="1" t="s">
        <v>41</v>
      </c>
      <c r="F65" s="1">
        <v>6146000700</v>
      </c>
      <c r="G65" s="1" t="s">
        <v>335</v>
      </c>
      <c r="H65" t="str">
        <f>VLOOKUP(F65,Blad3!$1:$1048576,3,FALSE)</f>
        <v>61460000</v>
      </c>
      <c r="I65" s="13">
        <v>0.21</v>
      </c>
    </row>
    <row r="66" spans="1:9" x14ac:dyDescent="0.25">
      <c r="A66" s="1">
        <v>2</v>
      </c>
      <c r="B66" s="1" t="s">
        <v>105</v>
      </c>
      <c r="C66" s="1" t="s">
        <v>146</v>
      </c>
      <c r="D66" s="1" t="s">
        <v>336</v>
      </c>
      <c r="E66" s="1" t="s">
        <v>41</v>
      </c>
      <c r="F66" s="1">
        <v>6145000100</v>
      </c>
      <c r="G66" s="1" t="s">
        <v>144</v>
      </c>
      <c r="H66" t="str">
        <f>VLOOKUP(F66,Blad3!$1:$1048576,3,FALSE)</f>
        <v>61450000</v>
      </c>
      <c r="I66" s="13">
        <v>0.21</v>
      </c>
    </row>
    <row r="67" spans="1:9" x14ac:dyDescent="0.25">
      <c r="A67" s="1">
        <v>2</v>
      </c>
      <c r="B67" s="1" t="s">
        <v>105</v>
      </c>
      <c r="C67" s="1" t="s">
        <v>146</v>
      </c>
      <c r="D67" s="1" t="s">
        <v>337</v>
      </c>
      <c r="E67" s="1" t="s">
        <v>41</v>
      </c>
      <c r="F67" s="1">
        <v>6145000100</v>
      </c>
      <c r="G67" s="1" t="s">
        <v>144</v>
      </c>
      <c r="H67" t="str">
        <f>VLOOKUP(F67,Blad3!$1:$1048576,3,FALSE)</f>
        <v>61450000</v>
      </c>
      <c r="I67" s="13">
        <v>0.21</v>
      </c>
    </row>
    <row r="68" spans="1:9" x14ac:dyDescent="0.25">
      <c r="A68" s="1">
        <v>2</v>
      </c>
      <c r="B68" s="1" t="s">
        <v>105</v>
      </c>
      <c r="C68" s="1" t="s">
        <v>340</v>
      </c>
      <c r="D68" s="1" t="s">
        <v>341</v>
      </c>
      <c r="E68" s="1" t="s">
        <v>59</v>
      </c>
      <c r="F68" s="1">
        <v>2400000000</v>
      </c>
      <c r="G68" s="1" t="s">
        <v>340</v>
      </c>
      <c r="H68" t="str">
        <f>VLOOKUP(F68,Blad3!$1:$1048576,3,FALSE)</f>
        <v>24000000</v>
      </c>
      <c r="I68" s="13">
        <v>0.21</v>
      </c>
    </row>
    <row r="69" spans="1:9" x14ac:dyDescent="0.25">
      <c r="A69" s="1">
        <v>2</v>
      </c>
      <c r="B69" s="1" t="s">
        <v>105</v>
      </c>
      <c r="C69" s="1" t="s">
        <v>340</v>
      </c>
      <c r="D69" s="1" t="s">
        <v>343</v>
      </c>
      <c r="E69" s="1" t="s">
        <v>59</v>
      </c>
      <c r="F69" s="1">
        <v>2400000000</v>
      </c>
      <c r="G69" s="1" t="s">
        <v>340</v>
      </c>
      <c r="H69" t="str">
        <f>VLOOKUP(F69,Blad3!$1:$1048576,3,FALSE)</f>
        <v>24000000</v>
      </c>
      <c r="I69" s="13">
        <v>0.21</v>
      </c>
    </row>
    <row r="70" spans="1:9" x14ac:dyDescent="0.25">
      <c r="A70" s="1">
        <v>2</v>
      </c>
      <c r="B70" s="1" t="s">
        <v>105</v>
      </c>
      <c r="C70" s="1" t="s">
        <v>340</v>
      </c>
      <c r="D70" s="1" t="s">
        <v>345</v>
      </c>
      <c r="E70" s="1" t="s">
        <v>59</v>
      </c>
      <c r="F70" s="1">
        <v>2400000000</v>
      </c>
      <c r="G70" s="1" t="s">
        <v>340</v>
      </c>
      <c r="H70" t="str">
        <f>VLOOKUP(F70,Blad3!$1:$1048576,3,FALSE)</f>
        <v>24000000</v>
      </c>
      <c r="I70" s="13">
        <v>0.21</v>
      </c>
    </row>
    <row r="71" spans="1:9" x14ac:dyDescent="0.25">
      <c r="A71" s="1">
        <v>2</v>
      </c>
      <c r="B71" s="1" t="s">
        <v>105</v>
      </c>
      <c r="C71" s="1" t="s">
        <v>340</v>
      </c>
      <c r="D71" s="1" t="s">
        <v>346</v>
      </c>
      <c r="E71" s="1" t="s">
        <v>59</v>
      </c>
      <c r="F71" s="1">
        <v>2400000000</v>
      </c>
      <c r="G71" s="1" t="s">
        <v>340</v>
      </c>
      <c r="H71" t="str">
        <f>VLOOKUP(F71,Blad3!$1:$1048576,3,FALSE)</f>
        <v>24000000</v>
      </c>
      <c r="I71" s="13">
        <v>0.21</v>
      </c>
    </row>
    <row r="72" spans="1:9" x14ac:dyDescent="0.25">
      <c r="A72" s="1">
        <v>2</v>
      </c>
      <c r="B72" s="1" t="s">
        <v>105</v>
      </c>
      <c r="C72" s="1" t="s">
        <v>340</v>
      </c>
      <c r="D72" s="1" t="s">
        <v>348</v>
      </c>
      <c r="E72" s="1" t="s">
        <v>41</v>
      </c>
      <c r="F72" s="1">
        <v>6141100300</v>
      </c>
      <c r="G72" s="1" t="s">
        <v>349</v>
      </c>
      <c r="H72" t="str">
        <f>VLOOKUP(F72,Blad3!$1:$1048576,3,FALSE)</f>
        <v>61410000</v>
      </c>
      <c r="I72" s="13">
        <v>0.21</v>
      </c>
    </row>
    <row r="73" spans="1:9" x14ac:dyDescent="0.25">
      <c r="A73" s="1">
        <v>2</v>
      </c>
      <c r="B73" s="1" t="s">
        <v>105</v>
      </c>
      <c r="C73" s="1" t="s">
        <v>106</v>
      </c>
      <c r="D73" s="1" t="s">
        <v>351</v>
      </c>
      <c r="E73" s="1" t="s">
        <v>41</v>
      </c>
      <c r="F73" s="1">
        <v>6146000900</v>
      </c>
      <c r="G73" s="1" t="s">
        <v>56</v>
      </c>
      <c r="H73" t="str">
        <f>VLOOKUP(F73,Blad3!$1:$1048576,3,FALSE)</f>
        <v>61490000</v>
      </c>
      <c r="I73" s="13">
        <v>0</v>
      </c>
    </row>
    <row r="74" spans="1:9" x14ac:dyDescent="0.25">
      <c r="A74" s="1">
        <v>3</v>
      </c>
      <c r="B74" s="1" t="s">
        <v>148</v>
      </c>
      <c r="C74" s="1" t="s">
        <v>151</v>
      </c>
      <c r="D74" s="1" t="s">
        <v>150</v>
      </c>
      <c r="E74" s="1" t="s">
        <v>45</v>
      </c>
      <c r="F74" s="1">
        <v>6161000200</v>
      </c>
      <c r="G74" s="1" t="s">
        <v>45</v>
      </c>
      <c r="H74" t="str">
        <f>VLOOKUP(F74,Blad3!$1:$1048576,3,FALSE)</f>
        <v>61612000</v>
      </c>
      <c r="I74" s="13">
        <v>0.06</v>
      </c>
    </row>
    <row r="75" spans="1:9" x14ac:dyDescent="0.25">
      <c r="A75" s="1">
        <v>3</v>
      </c>
      <c r="B75" s="1" t="s">
        <v>148</v>
      </c>
      <c r="C75" s="1" t="s">
        <v>151</v>
      </c>
      <c r="D75" s="1" t="s">
        <v>150</v>
      </c>
      <c r="E75" s="1" t="s">
        <v>59</v>
      </c>
      <c r="F75" s="11">
        <v>2406000000</v>
      </c>
      <c r="G75" s="1" t="s">
        <v>152</v>
      </c>
      <c r="H75" t="str">
        <f>VLOOKUP(F75,Blad3!$1:$1048576,3,FALSE)</f>
        <v>24060000</v>
      </c>
      <c r="I75" s="13">
        <v>0.06</v>
      </c>
    </row>
    <row r="76" spans="1:9" x14ac:dyDescent="0.25">
      <c r="A76" s="1">
        <v>3</v>
      </c>
      <c r="B76" s="1" t="s">
        <v>148</v>
      </c>
      <c r="C76" s="1" t="s">
        <v>153</v>
      </c>
      <c r="D76" s="1" t="s">
        <v>154</v>
      </c>
      <c r="E76" s="1" t="s">
        <v>45</v>
      </c>
      <c r="F76" s="1">
        <v>6161000200</v>
      </c>
      <c r="G76" s="1" t="s">
        <v>45</v>
      </c>
      <c r="H76" t="str">
        <f>VLOOKUP(F76,Blad3!$1:$1048576,3,FALSE)</f>
        <v>61612000</v>
      </c>
      <c r="I76" s="13">
        <v>0.21</v>
      </c>
    </row>
    <row r="77" spans="1:9" x14ac:dyDescent="0.25">
      <c r="A77" s="1">
        <v>3</v>
      </c>
      <c r="B77" s="1" t="s">
        <v>148</v>
      </c>
      <c r="C77" s="1" t="s">
        <v>153</v>
      </c>
      <c r="D77" s="1" t="s">
        <v>154</v>
      </c>
      <c r="E77" s="1" t="s">
        <v>59</v>
      </c>
      <c r="F77" s="11">
        <v>2302000000</v>
      </c>
      <c r="G77" s="1" t="s">
        <v>125</v>
      </c>
      <c r="H77" t="str">
        <f>VLOOKUP(F77,Blad3!$1:$1048576,3,FALSE)</f>
        <v>23020000</v>
      </c>
      <c r="I77" s="13">
        <v>0.21</v>
      </c>
    </row>
    <row r="78" spans="1:9" x14ac:dyDescent="0.25">
      <c r="A78" s="1">
        <v>3</v>
      </c>
      <c r="B78" s="1" t="s">
        <v>148</v>
      </c>
      <c r="C78" s="1" t="s">
        <v>153</v>
      </c>
      <c r="D78" s="1" t="s">
        <v>155</v>
      </c>
      <c r="E78" s="1" t="s">
        <v>45</v>
      </c>
      <c r="F78" s="1">
        <v>6161000200</v>
      </c>
      <c r="G78" s="1" t="s">
        <v>45</v>
      </c>
      <c r="H78" t="str">
        <f>VLOOKUP(F78,Blad3!$1:$1048576,3,FALSE)</f>
        <v>61612000</v>
      </c>
      <c r="I78" s="13">
        <v>0.21</v>
      </c>
    </row>
    <row r="79" spans="1:9" x14ac:dyDescent="0.25">
      <c r="A79" s="1">
        <v>3</v>
      </c>
      <c r="B79" s="1" t="s">
        <v>148</v>
      </c>
      <c r="C79" s="1" t="s">
        <v>153</v>
      </c>
      <c r="D79" s="1" t="s">
        <v>155</v>
      </c>
      <c r="E79" s="1" t="s">
        <v>59</v>
      </c>
      <c r="F79" s="11">
        <v>2302000000</v>
      </c>
      <c r="G79" s="1" t="s">
        <v>125</v>
      </c>
      <c r="H79" t="str">
        <f>VLOOKUP(F79,Blad3!$1:$1048576,3,FALSE)</f>
        <v>23020000</v>
      </c>
      <c r="I79" s="13">
        <v>0.21</v>
      </c>
    </row>
    <row r="80" spans="1:9" x14ac:dyDescent="0.25">
      <c r="A80" s="1">
        <v>3</v>
      </c>
      <c r="B80" s="1" t="s">
        <v>148</v>
      </c>
      <c r="C80" s="1" t="s">
        <v>181</v>
      </c>
      <c r="D80" s="1" t="s">
        <v>182</v>
      </c>
      <c r="E80" s="1" t="s">
        <v>41</v>
      </c>
      <c r="F80" s="1">
        <v>6146000100</v>
      </c>
      <c r="G80" s="1" t="s">
        <v>183</v>
      </c>
      <c r="H80" t="str">
        <f>VLOOKUP(F80,Blad3!$1:$1048576,3,FALSE)</f>
        <v>61460000</v>
      </c>
      <c r="I80" s="13">
        <v>0.06</v>
      </c>
    </row>
    <row r="81" spans="1:9" x14ac:dyDescent="0.25">
      <c r="A81" s="1">
        <v>3</v>
      </c>
      <c r="B81" s="1" t="s">
        <v>148</v>
      </c>
      <c r="C81" s="1" t="s">
        <v>181</v>
      </c>
      <c r="D81" s="1" t="s">
        <v>182</v>
      </c>
      <c r="E81" s="1" t="s">
        <v>108</v>
      </c>
      <c r="F81" s="1">
        <v>6030000200</v>
      </c>
      <c r="G81" s="1" t="s">
        <v>109</v>
      </c>
      <c r="H81" t="str">
        <f>VLOOKUP(F81,Blad3!$1:$1048576,3,FALSE)</f>
        <v>60320000</v>
      </c>
      <c r="I81" s="13">
        <v>0.06</v>
      </c>
    </row>
    <row r="82" spans="1:9" x14ac:dyDescent="0.25">
      <c r="A82" s="1">
        <v>3</v>
      </c>
      <c r="B82" s="1" t="s">
        <v>148</v>
      </c>
      <c r="C82" s="1" t="s">
        <v>181</v>
      </c>
      <c r="D82" s="1" t="s">
        <v>185</v>
      </c>
      <c r="E82" s="1" t="s">
        <v>41</v>
      </c>
      <c r="F82" s="1">
        <v>6146000100</v>
      </c>
      <c r="G82" s="1" t="s">
        <v>183</v>
      </c>
      <c r="H82" t="str">
        <f>VLOOKUP(F82,Blad3!$1:$1048576,3,FALSE)</f>
        <v>61460000</v>
      </c>
      <c r="I82" s="13">
        <v>0.06</v>
      </c>
    </row>
    <row r="83" spans="1:9" x14ac:dyDescent="0.25">
      <c r="A83" s="1">
        <v>3</v>
      </c>
      <c r="B83" s="1" t="s">
        <v>148</v>
      </c>
      <c r="C83" s="1" t="s">
        <v>181</v>
      </c>
      <c r="D83" s="1" t="s">
        <v>185</v>
      </c>
      <c r="E83" s="1" t="s">
        <v>108</v>
      </c>
      <c r="F83" s="1">
        <v>6030000200</v>
      </c>
      <c r="G83" s="1" t="s">
        <v>109</v>
      </c>
      <c r="H83" t="str">
        <f>VLOOKUP(F83,Blad3!$1:$1048576,3,FALSE)</f>
        <v>60320000</v>
      </c>
      <c r="I83" s="13">
        <v>0.06</v>
      </c>
    </row>
    <row r="84" spans="1:9" x14ac:dyDescent="0.25">
      <c r="A84" s="1">
        <v>3</v>
      </c>
      <c r="B84" s="1" t="s">
        <v>148</v>
      </c>
      <c r="C84" s="1" t="s">
        <v>187</v>
      </c>
      <c r="D84" s="1" t="s">
        <v>188</v>
      </c>
      <c r="E84" s="1" t="s">
        <v>45</v>
      </c>
      <c r="F84" s="1">
        <v>6161000200</v>
      </c>
      <c r="G84" s="1" t="s">
        <v>45</v>
      </c>
      <c r="H84" t="str">
        <f>VLOOKUP(F84,Blad3!$1:$1048576,3,FALSE)</f>
        <v>61612000</v>
      </c>
      <c r="I84" s="13">
        <v>0.06</v>
      </c>
    </row>
    <row r="85" spans="1:9" x14ac:dyDescent="0.25">
      <c r="A85" s="1">
        <v>3</v>
      </c>
      <c r="B85" s="1" t="s">
        <v>148</v>
      </c>
      <c r="C85" s="1" t="s">
        <v>187</v>
      </c>
      <c r="D85" s="1" t="s">
        <v>188</v>
      </c>
      <c r="E85" s="1" t="s">
        <v>108</v>
      </c>
      <c r="F85" s="1">
        <v>6030000200</v>
      </c>
      <c r="G85" s="1" t="s">
        <v>109</v>
      </c>
      <c r="H85" t="str">
        <f>VLOOKUP(F85,Blad3!$1:$1048576,3,FALSE)</f>
        <v>60320000</v>
      </c>
      <c r="I85" s="13">
        <v>0.06</v>
      </c>
    </row>
    <row r="86" spans="1:9" x14ac:dyDescent="0.25">
      <c r="A86" s="1">
        <v>3</v>
      </c>
      <c r="B86" s="1" t="s">
        <v>148</v>
      </c>
      <c r="C86" s="1" t="s">
        <v>187</v>
      </c>
      <c r="D86" s="1" t="s">
        <v>190</v>
      </c>
      <c r="E86" s="1" t="s">
        <v>45</v>
      </c>
      <c r="F86" s="1">
        <v>6161000200</v>
      </c>
      <c r="G86" s="1" t="s">
        <v>45</v>
      </c>
      <c r="H86" t="str">
        <f>VLOOKUP(F86,Blad3!$1:$1048576,3,FALSE)</f>
        <v>61612000</v>
      </c>
      <c r="I86" s="13">
        <v>0.06</v>
      </c>
    </row>
    <row r="87" spans="1:9" x14ac:dyDescent="0.25">
      <c r="A87" s="1">
        <v>3</v>
      </c>
      <c r="B87" s="1" t="s">
        <v>148</v>
      </c>
      <c r="C87" s="1" t="s">
        <v>187</v>
      </c>
      <c r="D87" s="1" t="s">
        <v>190</v>
      </c>
      <c r="E87" s="1" t="s">
        <v>108</v>
      </c>
      <c r="F87" s="1">
        <v>6030000200</v>
      </c>
      <c r="G87" s="1" t="s">
        <v>109</v>
      </c>
      <c r="H87" t="str">
        <f>VLOOKUP(F87,Blad3!$1:$1048576,3,FALSE)</f>
        <v>60320000</v>
      </c>
      <c r="I87" s="13">
        <v>0.06</v>
      </c>
    </row>
    <row r="88" spans="1:9" x14ac:dyDescent="0.25">
      <c r="A88" s="1">
        <v>3</v>
      </c>
      <c r="B88" s="1" t="s">
        <v>148</v>
      </c>
      <c r="C88" s="1" t="s">
        <v>187</v>
      </c>
      <c r="D88" s="1" t="s">
        <v>194</v>
      </c>
      <c r="E88" s="1" t="s">
        <v>45</v>
      </c>
      <c r="F88" s="1">
        <v>6161000200</v>
      </c>
      <c r="G88" s="1" t="s">
        <v>45</v>
      </c>
      <c r="H88" t="str">
        <f>VLOOKUP(F88,Blad3!$1:$1048576,3,FALSE)</f>
        <v>61612000</v>
      </c>
      <c r="I88" s="13">
        <v>0.21</v>
      </c>
    </row>
    <row r="89" spans="1:9" x14ac:dyDescent="0.25">
      <c r="A89" s="1">
        <v>3</v>
      </c>
      <c r="B89" s="1" t="s">
        <v>148</v>
      </c>
      <c r="C89" s="1" t="s">
        <v>187</v>
      </c>
      <c r="D89" s="1" t="s">
        <v>194</v>
      </c>
      <c r="E89" s="1" t="s">
        <v>59</v>
      </c>
      <c r="F89" s="11">
        <v>2420000000</v>
      </c>
      <c r="G89" s="1" t="s">
        <v>195</v>
      </c>
      <c r="H89" t="str">
        <f>VLOOKUP(F89,Blad3!$1:$1048576,3,FALSE)</f>
        <v>24200000</v>
      </c>
      <c r="I89" s="13">
        <v>0.21</v>
      </c>
    </row>
    <row r="90" spans="1:9" x14ac:dyDescent="0.25">
      <c r="A90" s="1">
        <v>3</v>
      </c>
      <c r="B90" s="1" t="s">
        <v>148</v>
      </c>
      <c r="C90" s="1" t="s">
        <v>187</v>
      </c>
      <c r="D90" s="1" t="s">
        <v>196</v>
      </c>
      <c r="E90" s="1" t="s">
        <v>45</v>
      </c>
      <c r="F90" s="1">
        <v>6161000200</v>
      </c>
      <c r="G90" s="1" t="s">
        <v>45</v>
      </c>
      <c r="H90" t="str">
        <f>VLOOKUP(F90,Blad3!$1:$1048576,3,FALSE)</f>
        <v>61612000</v>
      </c>
      <c r="I90" s="13">
        <v>0.21</v>
      </c>
    </row>
    <row r="91" spans="1:9" x14ac:dyDescent="0.25">
      <c r="A91" s="1">
        <v>3</v>
      </c>
      <c r="B91" s="1" t="s">
        <v>148</v>
      </c>
      <c r="C91" s="1" t="s">
        <v>187</v>
      </c>
      <c r="D91" s="1" t="s">
        <v>196</v>
      </c>
      <c r="E91" s="1" t="s">
        <v>108</v>
      </c>
      <c r="F91" s="1">
        <v>6030000200</v>
      </c>
      <c r="G91" s="1" t="s">
        <v>109</v>
      </c>
      <c r="H91" t="str">
        <f>VLOOKUP(F91,Blad3!$1:$1048576,3,FALSE)</f>
        <v>60320000</v>
      </c>
      <c r="I91" s="13">
        <v>0.21</v>
      </c>
    </row>
    <row r="92" spans="1:9" x14ac:dyDescent="0.25">
      <c r="A92" s="1">
        <v>3</v>
      </c>
      <c r="B92" s="1" t="s">
        <v>148</v>
      </c>
      <c r="C92" s="1" t="s">
        <v>187</v>
      </c>
      <c r="D92" s="1" t="s">
        <v>196</v>
      </c>
      <c r="E92" s="1" t="s">
        <v>119</v>
      </c>
      <c r="F92" s="1">
        <v>6030000100</v>
      </c>
      <c r="G92" s="1" t="s">
        <v>120</v>
      </c>
      <c r="H92" t="str">
        <f>VLOOKUP(F92,Blad3!$1:$1048576,3,FALSE)</f>
        <v>60310100</v>
      </c>
      <c r="I92" s="13">
        <v>0.21</v>
      </c>
    </row>
    <row r="93" spans="1:9" x14ac:dyDescent="0.25">
      <c r="A93" s="1">
        <v>3</v>
      </c>
      <c r="B93" s="1" t="s">
        <v>148</v>
      </c>
      <c r="C93" s="1" t="s">
        <v>187</v>
      </c>
      <c r="D93" s="1" t="s">
        <v>197</v>
      </c>
      <c r="E93" s="1" t="s">
        <v>45</v>
      </c>
      <c r="F93" s="1">
        <v>6161000200</v>
      </c>
      <c r="G93" s="1" t="s">
        <v>45</v>
      </c>
      <c r="H93" t="str">
        <f>VLOOKUP(F93,Blad3!$1:$1048576,3,FALSE)</f>
        <v>61612000</v>
      </c>
      <c r="I93" s="13">
        <v>0.21</v>
      </c>
    </row>
    <row r="94" spans="1:9" x14ac:dyDescent="0.25">
      <c r="A94" s="1">
        <v>3</v>
      </c>
      <c r="B94" s="1" t="s">
        <v>148</v>
      </c>
      <c r="C94" s="1" t="s">
        <v>187</v>
      </c>
      <c r="D94" s="1" t="s">
        <v>197</v>
      </c>
      <c r="E94" s="1" t="s">
        <v>108</v>
      </c>
      <c r="F94" s="1">
        <v>6030000200</v>
      </c>
      <c r="G94" s="1" t="s">
        <v>109</v>
      </c>
      <c r="H94" t="str">
        <f>VLOOKUP(F94,Blad3!$1:$1048576,3,FALSE)</f>
        <v>60320000</v>
      </c>
      <c r="I94" s="13">
        <v>0.21</v>
      </c>
    </row>
    <row r="95" spans="1:9" x14ac:dyDescent="0.25">
      <c r="A95" s="1">
        <v>3</v>
      </c>
      <c r="B95" s="1" t="s">
        <v>148</v>
      </c>
      <c r="C95" s="1" t="s">
        <v>187</v>
      </c>
      <c r="D95" s="1" t="s">
        <v>198</v>
      </c>
      <c r="E95" s="1" t="s">
        <v>108</v>
      </c>
      <c r="F95" s="1">
        <v>6030000200</v>
      </c>
      <c r="G95" s="1" t="s">
        <v>109</v>
      </c>
      <c r="H95" t="str">
        <f>VLOOKUP(F95,Blad3!$1:$1048576,3,FALSE)</f>
        <v>60320000</v>
      </c>
      <c r="I95" s="13">
        <v>0.06</v>
      </c>
    </row>
    <row r="96" spans="1:9" x14ac:dyDescent="0.25">
      <c r="A96" s="1">
        <v>3</v>
      </c>
      <c r="B96" s="1" t="s">
        <v>148</v>
      </c>
      <c r="C96" s="1" t="s">
        <v>187</v>
      </c>
      <c r="D96" s="1" t="s">
        <v>198</v>
      </c>
      <c r="E96" s="1" t="s">
        <v>119</v>
      </c>
      <c r="F96" s="1">
        <v>6030000100</v>
      </c>
      <c r="G96" s="1" t="s">
        <v>120</v>
      </c>
      <c r="H96" t="str">
        <f>VLOOKUP(F96,Blad3!$1:$1048576,3,FALSE)</f>
        <v>60310100</v>
      </c>
      <c r="I96" s="13">
        <v>0.06</v>
      </c>
    </row>
    <row r="97" spans="1:9" x14ac:dyDescent="0.25">
      <c r="A97" s="1">
        <v>3</v>
      </c>
      <c r="B97" s="1" t="s">
        <v>148</v>
      </c>
      <c r="C97" s="1" t="s">
        <v>187</v>
      </c>
      <c r="D97" s="1" t="s">
        <v>198</v>
      </c>
      <c r="E97" s="1" t="s">
        <v>45</v>
      </c>
      <c r="F97" s="1">
        <v>6161000200</v>
      </c>
      <c r="G97" s="1" t="s">
        <v>45</v>
      </c>
      <c r="H97" t="str">
        <f>VLOOKUP(F97,Blad3!$1:$1048576,3,FALSE)</f>
        <v>61612000</v>
      </c>
      <c r="I97" s="13">
        <v>0.06</v>
      </c>
    </row>
    <row r="98" spans="1:9" x14ac:dyDescent="0.25">
      <c r="A98" s="1">
        <v>3</v>
      </c>
      <c r="B98" s="1" t="s">
        <v>148</v>
      </c>
      <c r="C98" s="1" t="s">
        <v>187</v>
      </c>
      <c r="D98" s="1" t="s">
        <v>199</v>
      </c>
      <c r="E98" s="1" t="s">
        <v>45</v>
      </c>
      <c r="F98" s="1">
        <v>6161000200</v>
      </c>
      <c r="G98" s="1" t="s">
        <v>45</v>
      </c>
      <c r="H98" t="str">
        <f>VLOOKUP(F98,Blad3!$1:$1048576,3,FALSE)</f>
        <v>61612000</v>
      </c>
      <c r="I98" s="13">
        <v>0.06</v>
      </c>
    </row>
    <row r="99" spans="1:9" x14ac:dyDescent="0.25">
      <c r="A99" s="1">
        <v>3</v>
      </c>
      <c r="B99" s="1" t="s">
        <v>148</v>
      </c>
      <c r="C99" s="1" t="s">
        <v>187</v>
      </c>
      <c r="D99" s="1" t="s">
        <v>199</v>
      </c>
      <c r="E99" s="1" t="s">
        <v>108</v>
      </c>
      <c r="F99" s="1">
        <v>6030000200</v>
      </c>
      <c r="G99" s="1" t="s">
        <v>109</v>
      </c>
      <c r="H99" t="str">
        <f>VLOOKUP(F99,Blad3!$1:$1048576,3,FALSE)</f>
        <v>60320000</v>
      </c>
      <c r="I99" s="13">
        <v>0.06</v>
      </c>
    </row>
    <row r="100" spans="1:9" x14ac:dyDescent="0.25">
      <c r="A100" s="1">
        <v>3</v>
      </c>
      <c r="B100" s="1" t="s">
        <v>148</v>
      </c>
      <c r="C100" s="1" t="s">
        <v>187</v>
      </c>
      <c r="D100" s="1" t="s">
        <v>199</v>
      </c>
      <c r="E100" s="1" t="s">
        <v>119</v>
      </c>
      <c r="F100" s="1">
        <v>6030000100</v>
      </c>
      <c r="G100" s="1" t="s">
        <v>120</v>
      </c>
      <c r="H100" t="str">
        <f>VLOOKUP(F100,Blad3!$1:$1048576,3,FALSE)</f>
        <v>60310100</v>
      </c>
      <c r="I100" s="13">
        <v>0.06</v>
      </c>
    </row>
    <row r="101" spans="1:9" x14ac:dyDescent="0.25">
      <c r="A101" s="1">
        <v>3</v>
      </c>
      <c r="B101" s="1" t="s">
        <v>148</v>
      </c>
      <c r="C101" s="1" t="s">
        <v>187</v>
      </c>
      <c r="D101" s="1" t="s">
        <v>201</v>
      </c>
      <c r="E101" s="1" t="s">
        <v>108</v>
      </c>
      <c r="F101" s="1">
        <v>6030000200</v>
      </c>
      <c r="G101" s="1" t="s">
        <v>109</v>
      </c>
      <c r="H101" t="str">
        <f>VLOOKUP(F101,Blad3!$1:$1048576,3,FALSE)</f>
        <v>60320000</v>
      </c>
      <c r="I101" s="13">
        <v>0.06</v>
      </c>
    </row>
    <row r="102" spans="1:9" x14ac:dyDescent="0.25">
      <c r="A102" s="1">
        <v>3</v>
      </c>
      <c r="B102" s="1" t="s">
        <v>148</v>
      </c>
      <c r="C102" s="1" t="s">
        <v>187</v>
      </c>
      <c r="D102" s="1" t="s">
        <v>201</v>
      </c>
      <c r="E102" s="1" t="s">
        <v>119</v>
      </c>
      <c r="F102" s="1">
        <v>6030000100</v>
      </c>
      <c r="G102" s="1" t="s">
        <v>120</v>
      </c>
      <c r="H102" t="str">
        <f>VLOOKUP(F102,Blad3!$1:$1048576,3,FALSE)</f>
        <v>60310100</v>
      </c>
      <c r="I102" s="13">
        <v>0.06</v>
      </c>
    </row>
    <row r="103" spans="1:9" x14ac:dyDescent="0.25">
      <c r="A103" s="1">
        <v>3</v>
      </c>
      <c r="B103" s="1" t="s">
        <v>148</v>
      </c>
      <c r="C103" s="1" t="s">
        <v>187</v>
      </c>
      <c r="D103" s="1" t="s">
        <v>201</v>
      </c>
      <c r="E103" s="1" t="s">
        <v>45</v>
      </c>
      <c r="F103" s="1">
        <v>6161000200</v>
      </c>
      <c r="G103" s="1" t="s">
        <v>45</v>
      </c>
      <c r="H103" t="str">
        <f>VLOOKUP(F103,Blad3!$1:$1048576,3,FALSE)</f>
        <v>61612000</v>
      </c>
      <c r="I103" s="13">
        <v>0.06</v>
      </c>
    </row>
    <row r="104" spans="1:9" x14ac:dyDescent="0.25">
      <c r="A104" s="1">
        <v>3</v>
      </c>
      <c r="B104" s="1" t="s">
        <v>148</v>
      </c>
      <c r="C104" s="1" t="s">
        <v>187</v>
      </c>
      <c r="D104" s="1" t="s">
        <v>202</v>
      </c>
      <c r="E104" s="1" t="s">
        <v>41</v>
      </c>
      <c r="F104" s="1">
        <v>6141000100</v>
      </c>
      <c r="G104" s="1" t="s">
        <v>92</v>
      </c>
      <c r="H104" t="str">
        <f>VLOOKUP(F104,Blad3!$1:$1048576,3,FALSE)</f>
        <v>61410000</v>
      </c>
      <c r="I104" s="13">
        <v>0.21</v>
      </c>
    </row>
    <row r="105" spans="1:9" x14ac:dyDescent="0.25">
      <c r="A105" s="1">
        <v>3</v>
      </c>
      <c r="B105" s="1" t="s">
        <v>148</v>
      </c>
      <c r="C105" s="1" t="s">
        <v>187</v>
      </c>
      <c r="D105" s="1" t="s">
        <v>202</v>
      </c>
      <c r="E105" s="1" t="s">
        <v>45</v>
      </c>
      <c r="F105" s="1">
        <v>6161000200</v>
      </c>
      <c r="G105" s="1" t="s">
        <v>45</v>
      </c>
      <c r="H105" t="str">
        <f>VLOOKUP(F105,Blad3!$1:$1048576,3,FALSE)</f>
        <v>61612000</v>
      </c>
      <c r="I105" s="13">
        <v>0.21</v>
      </c>
    </row>
    <row r="106" spans="1:9" x14ac:dyDescent="0.25">
      <c r="A106" s="1">
        <v>3</v>
      </c>
      <c r="B106" s="1" t="s">
        <v>148</v>
      </c>
      <c r="C106" s="1" t="s">
        <v>187</v>
      </c>
      <c r="D106" s="1" t="s">
        <v>203</v>
      </c>
      <c r="E106" s="1" t="s">
        <v>45</v>
      </c>
      <c r="F106" s="1">
        <v>6161000200</v>
      </c>
      <c r="G106" s="1" t="s">
        <v>45</v>
      </c>
      <c r="H106" t="str">
        <f>VLOOKUP(F106,Blad3!$1:$1048576,3,FALSE)</f>
        <v>61612000</v>
      </c>
      <c r="I106" s="13">
        <v>0.21</v>
      </c>
    </row>
    <row r="107" spans="1:9" x14ac:dyDescent="0.25">
      <c r="A107" s="1">
        <v>3</v>
      </c>
      <c r="B107" s="1" t="s">
        <v>148</v>
      </c>
      <c r="C107" s="1" t="s">
        <v>187</v>
      </c>
      <c r="D107" s="1" t="s">
        <v>203</v>
      </c>
      <c r="E107" s="1" t="s">
        <v>108</v>
      </c>
      <c r="F107" s="1">
        <v>6030000200</v>
      </c>
      <c r="G107" s="1" t="s">
        <v>109</v>
      </c>
      <c r="H107" t="str">
        <f>VLOOKUP(F107,Blad3!$1:$1048576,3,FALSE)</f>
        <v>60320000</v>
      </c>
      <c r="I107" s="13">
        <v>0.21</v>
      </c>
    </row>
    <row r="108" spans="1:9" x14ac:dyDescent="0.25">
      <c r="A108" s="1">
        <v>3</v>
      </c>
      <c r="B108" s="1" t="s">
        <v>148</v>
      </c>
      <c r="C108" s="1" t="s">
        <v>187</v>
      </c>
      <c r="D108" s="1" t="s">
        <v>204</v>
      </c>
      <c r="E108" s="1" t="s">
        <v>45</v>
      </c>
      <c r="F108" s="1">
        <v>6161000200</v>
      </c>
      <c r="G108" s="1" t="s">
        <v>45</v>
      </c>
      <c r="H108" t="str">
        <f>VLOOKUP(F108,Blad3!$1:$1048576,3,FALSE)</f>
        <v>61612000</v>
      </c>
      <c r="I108" s="13">
        <v>0.21</v>
      </c>
    </row>
    <row r="109" spans="1:9" x14ac:dyDescent="0.25">
      <c r="A109" s="1">
        <v>3</v>
      </c>
      <c r="B109" s="1" t="s">
        <v>148</v>
      </c>
      <c r="C109" s="1" t="s">
        <v>187</v>
      </c>
      <c r="D109" s="1" t="s">
        <v>204</v>
      </c>
      <c r="E109" s="1" t="s">
        <v>108</v>
      </c>
      <c r="F109" s="1">
        <v>6030000200</v>
      </c>
      <c r="G109" s="1" t="s">
        <v>109</v>
      </c>
      <c r="H109" t="str">
        <f>VLOOKUP(F109,Blad3!$1:$1048576,3,FALSE)</f>
        <v>60320000</v>
      </c>
      <c r="I109" s="13">
        <v>0.21</v>
      </c>
    </row>
    <row r="110" spans="1:9" x14ac:dyDescent="0.25">
      <c r="A110" s="1">
        <v>3</v>
      </c>
      <c r="B110" s="1" t="s">
        <v>148</v>
      </c>
      <c r="C110" s="1" t="s">
        <v>187</v>
      </c>
      <c r="D110" s="1" t="s">
        <v>205</v>
      </c>
      <c r="E110" s="1" t="s">
        <v>45</v>
      </c>
      <c r="F110" s="1">
        <v>6161000200</v>
      </c>
      <c r="G110" s="1" t="s">
        <v>45</v>
      </c>
      <c r="H110" t="str">
        <f>VLOOKUP(F110,Blad3!$1:$1048576,3,FALSE)</f>
        <v>61612000</v>
      </c>
      <c r="I110" s="13">
        <v>0.21</v>
      </c>
    </row>
    <row r="111" spans="1:9" x14ac:dyDescent="0.25">
      <c r="A111" s="1">
        <v>3</v>
      </c>
      <c r="B111" s="1" t="s">
        <v>148</v>
      </c>
      <c r="C111" s="1" t="s">
        <v>187</v>
      </c>
      <c r="D111" s="1" t="s">
        <v>205</v>
      </c>
      <c r="E111" s="1" t="s">
        <v>108</v>
      </c>
      <c r="F111" s="1">
        <v>6030000200</v>
      </c>
      <c r="G111" s="1" t="s">
        <v>109</v>
      </c>
      <c r="H111" t="str">
        <f>VLOOKUP(F111,Blad3!$1:$1048576,3,FALSE)</f>
        <v>60320000</v>
      </c>
      <c r="I111" s="13">
        <v>0.21</v>
      </c>
    </row>
    <row r="112" spans="1:9" x14ac:dyDescent="0.25">
      <c r="A112" s="1">
        <v>3</v>
      </c>
      <c r="B112" s="1" t="s">
        <v>148</v>
      </c>
      <c r="C112" s="1" t="s">
        <v>187</v>
      </c>
      <c r="D112" s="1" t="s">
        <v>206</v>
      </c>
      <c r="E112" s="1" t="s">
        <v>57</v>
      </c>
      <c r="F112" s="1">
        <v>6030000300</v>
      </c>
      <c r="G112" s="1" t="s">
        <v>58</v>
      </c>
      <c r="H112" t="str">
        <f>VLOOKUP(F112,Blad3!$1:$1048576,3,FALSE)</f>
        <v>60330000</v>
      </c>
      <c r="I112" s="13">
        <v>0.06</v>
      </c>
    </row>
    <row r="113" spans="1:9" x14ac:dyDescent="0.25">
      <c r="A113" s="1">
        <v>3</v>
      </c>
      <c r="B113" s="1" t="s">
        <v>148</v>
      </c>
      <c r="C113" s="1" t="s">
        <v>187</v>
      </c>
      <c r="D113" s="1" t="s">
        <v>206</v>
      </c>
      <c r="E113" s="1" t="s">
        <v>45</v>
      </c>
      <c r="F113" s="1">
        <v>6161000200</v>
      </c>
      <c r="G113" s="1" t="s">
        <v>45</v>
      </c>
      <c r="H113" t="str">
        <f>VLOOKUP(F113,Blad3!$1:$1048576,3,FALSE)</f>
        <v>61612000</v>
      </c>
      <c r="I113" s="13">
        <v>0.06</v>
      </c>
    </row>
    <row r="114" spans="1:9" x14ac:dyDescent="0.25">
      <c r="A114" s="1">
        <v>3</v>
      </c>
      <c r="B114" s="1" t="s">
        <v>148</v>
      </c>
      <c r="C114" s="1" t="s">
        <v>187</v>
      </c>
      <c r="D114" s="1" t="s">
        <v>208</v>
      </c>
      <c r="E114" s="1" t="s">
        <v>45</v>
      </c>
      <c r="F114" s="1">
        <v>6161000200</v>
      </c>
      <c r="G114" s="1" t="s">
        <v>45</v>
      </c>
      <c r="H114" t="str">
        <f>VLOOKUP(F114,Blad3!$1:$1048576,3,FALSE)</f>
        <v>61612000</v>
      </c>
      <c r="I114" s="13">
        <v>0.21</v>
      </c>
    </row>
    <row r="115" spans="1:9" x14ac:dyDescent="0.25">
      <c r="A115" s="1">
        <v>3</v>
      </c>
      <c r="B115" s="1" t="s">
        <v>148</v>
      </c>
      <c r="C115" s="1" t="s">
        <v>187</v>
      </c>
      <c r="D115" s="1" t="s">
        <v>208</v>
      </c>
      <c r="E115" s="1" t="s">
        <v>108</v>
      </c>
      <c r="F115" s="1">
        <v>6030000200</v>
      </c>
      <c r="G115" s="1" t="s">
        <v>109</v>
      </c>
      <c r="H115" t="str">
        <f>VLOOKUP(F115,Blad3!$1:$1048576,3,FALSE)</f>
        <v>60320000</v>
      </c>
      <c r="I115" s="13">
        <v>0.21</v>
      </c>
    </row>
    <row r="116" spans="1:9" x14ac:dyDescent="0.25">
      <c r="A116" s="1">
        <v>3</v>
      </c>
      <c r="B116" s="1" t="s">
        <v>148</v>
      </c>
      <c r="C116" s="1" t="s">
        <v>187</v>
      </c>
      <c r="D116" s="1" t="s">
        <v>210</v>
      </c>
      <c r="E116" s="1" t="s">
        <v>45</v>
      </c>
      <c r="F116" s="1">
        <v>6161000200</v>
      </c>
      <c r="G116" s="1" t="s">
        <v>45</v>
      </c>
      <c r="H116" t="str">
        <f>VLOOKUP(F116,Blad3!$1:$1048576,3,FALSE)</f>
        <v>61612000</v>
      </c>
      <c r="I116" s="13">
        <v>0.21</v>
      </c>
    </row>
    <row r="117" spans="1:9" x14ac:dyDescent="0.25">
      <c r="A117" s="1">
        <v>3</v>
      </c>
      <c r="B117" s="1" t="s">
        <v>148</v>
      </c>
      <c r="C117" s="1" t="s">
        <v>187</v>
      </c>
      <c r="D117" s="1" t="s">
        <v>210</v>
      </c>
      <c r="E117" s="1" t="s">
        <v>108</v>
      </c>
      <c r="F117" s="1">
        <v>6030000200</v>
      </c>
      <c r="G117" s="1" t="s">
        <v>109</v>
      </c>
      <c r="H117" t="str">
        <f>VLOOKUP(F117,Blad3!$1:$1048576,3,FALSE)</f>
        <v>60320000</v>
      </c>
      <c r="I117" s="13">
        <v>0.21</v>
      </c>
    </row>
    <row r="118" spans="1:9" x14ac:dyDescent="0.25">
      <c r="A118" s="1">
        <v>3</v>
      </c>
      <c r="B118" s="1" t="s">
        <v>148</v>
      </c>
      <c r="C118" s="1" t="s">
        <v>187</v>
      </c>
      <c r="D118" s="1" t="s">
        <v>211</v>
      </c>
      <c r="E118" s="1" t="s">
        <v>45</v>
      </c>
      <c r="F118" s="1">
        <v>6161000200</v>
      </c>
      <c r="G118" s="1" t="s">
        <v>45</v>
      </c>
      <c r="H118" t="str">
        <f>VLOOKUP(F118,Blad3!$1:$1048576,3,FALSE)</f>
        <v>61612000</v>
      </c>
      <c r="I118" s="13">
        <v>0.21</v>
      </c>
    </row>
    <row r="119" spans="1:9" x14ac:dyDescent="0.25">
      <c r="A119" s="1">
        <v>3</v>
      </c>
      <c r="B119" s="1" t="s">
        <v>148</v>
      </c>
      <c r="C119" s="1" t="s">
        <v>187</v>
      </c>
      <c r="D119" s="1" t="s">
        <v>211</v>
      </c>
      <c r="E119" s="1" t="s">
        <v>108</v>
      </c>
      <c r="F119" s="1">
        <v>6030000200</v>
      </c>
      <c r="G119" s="1" t="s">
        <v>109</v>
      </c>
      <c r="H119" t="str">
        <f>VLOOKUP(F119,Blad3!$1:$1048576,3,FALSE)</f>
        <v>60320000</v>
      </c>
      <c r="I119" s="13">
        <v>0.21</v>
      </c>
    </row>
    <row r="120" spans="1:9" x14ac:dyDescent="0.25">
      <c r="A120" s="1">
        <v>3</v>
      </c>
      <c r="B120" s="1" t="s">
        <v>148</v>
      </c>
      <c r="C120" s="1" t="s">
        <v>187</v>
      </c>
      <c r="D120" s="1" t="s">
        <v>211</v>
      </c>
      <c r="E120" s="1" t="s">
        <v>119</v>
      </c>
      <c r="F120" s="1">
        <v>6030000100</v>
      </c>
      <c r="G120" s="1" t="s">
        <v>120</v>
      </c>
      <c r="H120" t="str">
        <f>VLOOKUP(F120,Blad3!$1:$1048576,3,FALSE)</f>
        <v>60310100</v>
      </c>
      <c r="I120" s="13">
        <v>0.21</v>
      </c>
    </row>
    <row r="121" spans="1:9" x14ac:dyDescent="0.25">
      <c r="A121" s="1">
        <v>3</v>
      </c>
      <c r="B121" s="1" t="s">
        <v>148</v>
      </c>
      <c r="C121" s="1" t="s">
        <v>187</v>
      </c>
      <c r="D121" s="1" t="s">
        <v>213</v>
      </c>
      <c r="E121" s="1" t="s">
        <v>45</v>
      </c>
      <c r="F121" s="1">
        <v>6161000200</v>
      </c>
      <c r="G121" s="1" t="s">
        <v>45</v>
      </c>
      <c r="H121" t="str">
        <f>VLOOKUP(F121,Blad3!$1:$1048576,3,FALSE)</f>
        <v>61612000</v>
      </c>
      <c r="I121" s="13">
        <v>0.21</v>
      </c>
    </row>
    <row r="122" spans="1:9" x14ac:dyDescent="0.25">
      <c r="A122" s="1">
        <v>3</v>
      </c>
      <c r="B122" s="1" t="s">
        <v>148</v>
      </c>
      <c r="C122" s="1" t="s">
        <v>187</v>
      </c>
      <c r="D122" s="1" t="s">
        <v>213</v>
      </c>
      <c r="E122" s="1" t="s">
        <v>108</v>
      </c>
      <c r="F122" s="1">
        <v>6030000200</v>
      </c>
      <c r="G122" s="1" t="s">
        <v>109</v>
      </c>
      <c r="H122" t="str">
        <f>VLOOKUP(F122,Blad3!$1:$1048576,3,FALSE)</f>
        <v>60320000</v>
      </c>
      <c r="I122" s="13">
        <v>0.21</v>
      </c>
    </row>
    <row r="123" spans="1:9" x14ac:dyDescent="0.25">
      <c r="A123" s="1">
        <v>3</v>
      </c>
      <c r="B123" s="1" t="s">
        <v>148</v>
      </c>
      <c r="C123" s="1" t="s">
        <v>187</v>
      </c>
      <c r="D123" s="1" t="s">
        <v>213</v>
      </c>
      <c r="E123" s="1" t="s">
        <v>119</v>
      </c>
      <c r="F123" s="1">
        <v>6030000100</v>
      </c>
      <c r="G123" s="1" t="s">
        <v>120</v>
      </c>
      <c r="H123" t="str">
        <f>VLOOKUP(F123,Blad3!$1:$1048576,3,FALSE)</f>
        <v>60310100</v>
      </c>
      <c r="I123" s="13">
        <v>0.21</v>
      </c>
    </row>
    <row r="124" spans="1:9" x14ac:dyDescent="0.25">
      <c r="A124" s="1">
        <v>3</v>
      </c>
      <c r="B124" s="1" t="s">
        <v>148</v>
      </c>
      <c r="C124" s="1" t="s">
        <v>187</v>
      </c>
      <c r="D124" s="1" t="s">
        <v>282</v>
      </c>
      <c r="E124" s="1" t="s">
        <v>45</v>
      </c>
      <c r="F124" s="1">
        <v>6161000200</v>
      </c>
      <c r="G124" s="1" t="s">
        <v>45</v>
      </c>
      <c r="H124" t="str">
        <f>VLOOKUP(F124,Blad3!$1:$1048576,3,FALSE)</f>
        <v>61612000</v>
      </c>
      <c r="I124" s="13">
        <v>0.06</v>
      </c>
    </row>
    <row r="125" spans="1:9" x14ac:dyDescent="0.25">
      <c r="A125" s="1">
        <v>3</v>
      </c>
      <c r="B125" s="1" t="s">
        <v>148</v>
      </c>
      <c r="C125" s="1" t="s">
        <v>187</v>
      </c>
      <c r="D125" s="1" t="s">
        <v>282</v>
      </c>
      <c r="E125" s="1" t="s">
        <v>108</v>
      </c>
      <c r="F125" s="1">
        <v>6030000200</v>
      </c>
      <c r="G125" s="1" t="s">
        <v>109</v>
      </c>
      <c r="H125" t="str">
        <f>VLOOKUP(F125,Blad3!$1:$1048576,3,FALSE)</f>
        <v>60320000</v>
      </c>
      <c r="I125" s="13">
        <v>0.06</v>
      </c>
    </row>
    <row r="126" spans="1:9" x14ac:dyDescent="0.25">
      <c r="A126" s="1">
        <v>3</v>
      </c>
      <c r="B126" s="1" t="s">
        <v>148</v>
      </c>
      <c r="C126" s="1" t="s">
        <v>187</v>
      </c>
      <c r="D126" s="1" t="s">
        <v>282</v>
      </c>
      <c r="E126" s="1" t="s">
        <v>119</v>
      </c>
      <c r="F126" s="1">
        <v>6030000100</v>
      </c>
      <c r="G126" s="1" t="s">
        <v>120</v>
      </c>
      <c r="H126" t="str">
        <f>VLOOKUP(F126,Blad3!$1:$1048576,3,FALSE)</f>
        <v>60310100</v>
      </c>
      <c r="I126" s="13">
        <v>0.06</v>
      </c>
    </row>
    <row r="127" spans="1:9" x14ac:dyDescent="0.25">
      <c r="A127" s="1">
        <v>3</v>
      </c>
      <c r="B127" s="1" t="s">
        <v>148</v>
      </c>
      <c r="C127" s="1" t="s">
        <v>187</v>
      </c>
      <c r="D127" s="1" t="s">
        <v>319</v>
      </c>
      <c r="E127" s="1" t="s">
        <v>57</v>
      </c>
      <c r="F127" s="1">
        <v>6030000300</v>
      </c>
      <c r="G127" s="1" t="s">
        <v>58</v>
      </c>
      <c r="H127" t="str">
        <f>VLOOKUP(F127,Blad3!$1:$1048576,3,FALSE)</f>
        <v>60330000</v>
      </c>
      <c r="I127" s="13">
        <v>0.21</v>
      </c>
    </row>
    <row r="128" spans="1:9" x14ac:dyDescent="0.25">
      <c r="A128" s="1">
        <v>3</v>
      </c>
      <c r="B128" s="1" t="s">
        <v>148</v>
      </c>
      <c r="C128" s="1" t="s">
        <v>187</v>
      </c>
      <c r="D128" s="1" t="s">
        <v>319</v>
      </c>
      <c r="E128" s="1" t="s">
        <v>45</v>
      </c>
      <c r="F128" s="1">
        <v>6161000200</v>
      </c>
      <c r="G128" s="1" t="s">
        <v>45</v>
      </c>
      <c r="H128" t="str">
        <f>VLOOKUP(F128,Blad3!$1:$1048576,3,FALSE)</f>
        <v>61612000</v>
      </c>
      <c r="I128" s="13">
        <v>0.21</v>
      </c>
    </row>
    <row r="129" spans="1:9" x14ac:dyDescent="0.25">
      <c r="A129" s="1">
        <v>3</v>
      </c>
      <c r="B129" s="1" t="s">
        <v>148</v>
      </c>
      <c r="C129" s="1" t="s">
        <v>187</v>
      </c>
      <c r="D129" s="1" t="s">
        <v>353</v>
      </c>
      <c r="E129" s="1" t="s">
        <v>45</v>
      </c>
      <c r="F129" s="1">
        <v>6161000200</v>
      </c>
      <c r="G129" s="1" t="s">
        <v>45</v>
      </c>
      <c r="H129" t="str">
        <f>VLOOKUP(F129,Blad3!$1:$1048576,3,FALSE)</f>
        <v>61612000</v>
      </c>
      <c r="I129" s="13">
        <v>0.21</v>
      </c>
    </row>
    <row r="130" spans="1:9" x14ac:dyDescent="0.25">
      <c r="A130" s="1">
        <v>3</v>
      </c>
      <c r="B130" s="1" t="s">
        <v>148</v>
      </c>
      <c r="C130" s="1" t="s">
        <v>187</v>
      </c>
      <c r="D130" s="1" t="s">
        <v>355</v>
      </c>
      <c r="E130" s="1" t="s">
        <v>45</v>
      </c>
      <c r="F130" s="1">
        <v>6161000200</v>
      </c>
      <c r="G130" s="1" t="s">
        <v>45</v>
      </c>
      <c r="H130" t="str">
        <f>VLOOKUP(F130,Blad3!$1:$1048576,3,FALSE)</f>
        <v>61612000</v>
      </c>
      <c r="I130" s="13">
        <v>0.21</v>
      </c>
    </row>
    <row r="131" spans="1:9" x14ac:dyDescent="0.25">
      <c r="A131" s="1">
        <v>3</v>
      </c>
      <c r="B131" s="1" t="s">
        <v>148</v>
      </c>
      <c r="C131" s="1" t="s">
        <v>153</v>
      </c>
      <c r="D131" s="1" t="s">
        <v>356</v>
      </c>
      <c r="E131" s="1" t="s">
        <v>59</v>
      </c>
      <c r="F131" s="1">
        <v>2302000000</v>
      </c>
      <c r="G131" s="1" t="s">
        <v>125</v>
      </c>
      <c r="H131" t="str">
        <f>VLOOKUP(F131,Blad3!$1:$1048576,3,FALSE)</f>
        <v>23020000</v>
      </c>
      <c r="I131" s="13">
        <v>0.21</v>
      </c>
    </row>
    <row r="132" spans="1:9" x14ac:dyDescent="0.25">
      <c r="A132" s="1">
        <v>3</v>
      </c>
      <c r="B132" s="1" t="s">
        <v>148</v>
      </c>
      <c r="C132" s="1" t="s">
        <v>187</v>
      </c>
      <c r="D132" s="1" t="s">
        <v>357</v>
      </c>
      <c r="E132" s="1" t="s">
        <v>45</v>
      </c>
      <c r="F132" s="1">
        <v>6161000200</v>
      </c>
      <c r="G132" s="1" t="s">
        <v>45</v>
      </c>
      <c r="H132" t="str">
        <f>VLOOKUP(F132,Blad3!$1:$1048576,3,FALSE)</f>
        <v>61612000</v>
      </c>
      <c r="I132" s="13">
        <v>0.21</v>
      </c>
    </row>
    <row r="133" spans="1:9" x14ac:dyDescent="0.25">
      <c r="A133" s="1">
        <v>3</v>
      </c>
      <c r="B133" s="1" t="s">
        <v>148</v>
      </c>
      <c r="C133" s="1" t="s">
        <v>181</v>
      </c>
      <c r="D133" s="1" t="s">
        <v>358</v>
      </c>
      <c r="E133" s="1" t="s">
        <v>41</v>
      </c>
      <c r="F133" s="1">
        <v>6146000100</v>
      </c>
      <c r="G133" s="1" t="s">
        <v>183</v>
      </c>
      <c r="H133" t="str">
        <f>VLOOKUP(F133,Blad3!$1:$1048576,3,FALSE)</f>
        <v>61460000</v>
      </c>
      <c r="I133" s="13">
        <v>0</v>
      </c>
    </row>
    <row r="134" spans="1:9" x14ac:dyDescent="0.25">
      <c r="A134" s="1">
        <v>3</v>
      </c>
      <c r="B134" s="1" t="s">
        <v>148</v>
      </c>
      <c r="C134" s="1" t="s">
        <v>151</v>
      </c>
      <c r="D134" s="1" t="s">
        <v>360</v>
      </c>
      <c r="E134" s="1" t="s">
        <v>45</v>
      </c>
      <c r="F134" s="1">
        <v>6161000200</v>
      </c>
      <c r="G134" s="1" t="s">
        <v>45</v>
      </c>
      <c r="H134" t="str">
        <f>VLOOKUP(F134,Blad3!$1:$1048576,3,FALSE)</f>
        <v>61612000</v>
      </c>
      <c r="I134" s="13">
        <v>0.21</v>
      </c>
    </row>
    <row r="135" spans="1:9" x14ac:dyDescent="0.25">
      <c r="A135" s="1">
        <v>3</v>
      </c>
      <c r="B135" s="1" t="s">
        <v>148</v>
      </c>
      <c r="C135" s="1" t="s">
        <v>187</v>
      </c>
      <c r="D135" s="1" t="s">
        <v>363</v>
      </c>
      <c r="E135" s="1" t="s">
        <v>45</v>
      </c>
      <c r="F135" s="1">
        <v>6161000200</v>
      </c>
      <c r="G135" s="1" t="s">
        <v>45</v>
      </c>
      <c r="H135" t="str">
        <f>VLOOKUP(F135,Blad3!$1:$1048576,3,FALSE)</f>
        <v>61612000</v>
      </c>
      <c r="I135" s="13">
        <v>0.21</v>
      </c>
    </row>
    <row r="136" spans="1:9" x14ac:dyDescent="0.25">
      <c r="A136" s="1">
        <v>3</v>
      </c>
      <c r="B136" s="1" t="s">
        <v>148</v>
      </c>
      <c r="C136" s="1" t="s">
        <v>187</v>
      </c>
      <c r="D136" s="1" t="s">
        <v>364</v>
      </c>
      <c r="E136" s="1" t="s">
        <v>45</v>
      </c>
      <c r="F136" s="1">
        <v>6161000200</v>
      </c>
      <c r="G136" s="1" t="s">
        <v>45</v>
      </c>
      <c r="H136" t="str">
        <f>VLOOKUP(F136,Blad3!$1:$1048576,3,FALSE)</f>
        <v>61612000</v>
      </c>
      <c r="I136" s="13">
        <v>0.06</v>
      </c>
    </row>
    <row r="137" spans="1:9" x14ac:dyDescent="0.25">
      <c r="A137" s="1">
        <v>3</v>
      </c>
      <c r="B137" s="1" t="s">
        <v>148</v>
      </c>
      <c r="C137" s="1" t="s">
        <v>187</v>
      </c>
      <c r="D137" s="1" t="s">
        <v>366</v>
      </c>
      <c r="E137" s="1" t="s">
        <v>45</v>
      </c>
      <c r="F137" s="1">
        <v>6161000200</v>
      </c>
      <c r="G137" s="1" t="s">
        <v>45</v>
      </c>
      <c r="H137" t="str">
        <f>VLOOKUP(F137,Blad3!$1:$1048576,3,FALSE)</f>
        <v>61612000</v>
      </c>
      <c r="I137" s="13">
        <v>0.06</v>
      </c>
    </row>
    <row r="138" spans="1:9" x14ac:dyDescent="0.25">
      <c r="A138" s="1">
        <v>3</v>
      </c>
      <c r="B138" s="1" t="s">
        <v>148</v>
      </c>
      <c r="C138" s="1" t="s">
        <v>187</v>
      </c>
      <c r="D138" s="1" t="s">
        <v>367</v>
      </c>
      <c r="E138" s="1" t="s">
        <v>45</v>
      </c>
      <c r="F138" s="1">
        <v>6161000200</v>
      </c>
      <c r="G138" s="1" t="s">
        <v>45</v>
      </c>
      <c r="H138" t="str">
        <f>VLOOKUP(F138,Blad3!$1:$1048576,3,FALSE)</f>
        <v>61612000</v>
      </c>
      <c r="I138" s="13">
        <v>0.21</v>
      </c>
    </row>
    <row r="139" spans="1:9" x14ac:dyDescent="0.25">
      <c r="A139" s="1">
        <v>3</v>
      </c>
      <c r="B139" s="1" t="s">
        <v>148</v>
      </c>
      <c r="C139" s="1" t="s">
        <v>187</v>
      </c>
      <c r="D139" s="1" t="s">
        <v>369</v>
      </c>
      <c r="E139" s="1" t="s">
        <v>45</v>
      </c>
      <c r="F139" s="1">
        <v>6161000200</v>
      </c>
      <c r="G139" s="1" t="s">
        <v>45</v>
      </c>
      <c r="H139" t="str">
        <f>VLOOKUP(F139,Blad3!$1:$1048576,3,FALSE)</f>
        <v>61612000</v>
      </c>
      <c r="I139" s="13">
        <v>0.21</v>
      </c>
    </row>
    <row r="140" spans="1:9" x14ac:dyDescent="0.25">
      <c r="A140" s="1">
        <v>3</v>
      </c>
      <c r="B140" s="1" t="s">
        <v>148</v>
      </c>
      <c r="C140" s="1" t="s">
        <v>187</v>
      </c>
      <c r="D140" s="1" t="s">
        <v>370</v>
      </c>
      <c r="E140" s="1" t="s">
        <v>41</v>
      </c>
      <c r="F140" s="1">
        <v>6030000100</v>
      </c>
      <c r="G140" s="1" t="s">
        <v>120</v>
      </c>
      <c r="H140" t="str">
        <f>VLOOKUP(F140,Blad3!$1:$1048576,3,FALSE)</f>
        <v>60310100</v>
      </c>
      <c r="I140" s="13">
        <v>0.06</v>
      </c>
    </row>
    <row r="141" spans="1:9" x14ac:dyDescent="0.25">
      <c r="A141" s="1">
        <v>3</v>
      </c>
      <c r="B141" s="1" t="s">
        <v>148</v>
      </c>
      <c r="C141" s="1" t="s">
        <v>151</v>
      </c>
      <c r="D141" s="1" t="s">
        <v>371</v>
      </c>
      <c r="E141" s="1" t="s">
        <v>45</v>
      </c>
      <c r="F141" s="1">
        <v>6161000200</v>
      </c>
      <c r="G141" s="1" t="s">
        <v>45</v>
      </c>
      <c r="H141" t="str">
        <f>VLOOKUP(F141,Blad3!$1:$1048576,3,FALSE)</f>
        <v>61612000</v>
      </c>
      <c r="I141" s="13">
        <v>0.21</v>
      </c>
    </row>
    <row r="142" spans="1:9" x14ac:dyDescent="0.25">
      <c r="A142" s="1">
        <v>3</v>
      </c>
      <c r="B142" s="1" t="s">
        <v>148</v>
      </c>
      <c r="C142" s="1" t="s">
        <v>151</v>
      </c>
      <c r="D142" s="1" t="s">
        <v>373</v>
      </c>
      <c r="E142" s="1" t="s">
        <v>45</v>
      </c>
      <c r="F142" s="1">
        <v>6161000200</v>
      </c>
      <c r="G142" s="1" t="s">
        <v>45</v>
      </c>
      <c r="H142" t="str">
        <f>VLOOKUP(F142,Blad3!$1:$1048576,3,FALSE)</f>
        <v>61612000</v>
      </c>
      <c r="I142" s="13">
        <v>0.21</v>
      </c>
    </row>
    <row r="143" spans="1:9" x14ac:dyDescent="0.25">
      <c r="A143" s="1">
        <v>3</v>
      </c>
      <c r="B143" s="1" t="s">
        <v>148</v>
      </c>
      <c r="C143" s="1" t="s">
        <v>187</v>
      </c>
      <c r="D143" s="1" t="s">
        <v>375</v>
      </c>
      <c r="E143" s="1" t="s">
        <v>108</v>
      </c>
      <c r="F143" s="1">
        <v>6030000200</v>
      </c>
      <c r="G143" s="1" t="s">
        <v>109</v>
      </c>
      <c r="H143" t="str">
        <f>VLOOKUP(F143,Blad3!$1:$1048576,3,FALSE)</f>
        <v>60320000</v>
      </c>
      <c r="I143" s="13">
        <v>0.21</v>
      </c>
    </row>
    <row r="144" spans="1:9" x14ac:dyDescent="0.25">
      <c r="A144" s="1">
        <v>3</v>
      </c>
      <c r="B144" s="1" t="s">
        <v>148</v>
      </c>
      <c r="C144" s="1" t="s">
        <v>187</v>
      </c>
      <c r="D144" s="1" t="s">
        <v>376</v>
      </c>
      <c r="E144" s="1" t="s">
        <v>45</v>
      </c>
      <c r="F144" s="1">
        <v>6161000200</v>
      </c>
      <c r="G144" s="1" t="s">
        <v>45</v>
      </c>
      <c r="H144" t="str">
        <f>VLOOKUP(F144,Blad3!$1:$1048576,3,FALSE)</f>
        <v>61612000</v>
      </c>
      <c r="I144" s="13">
        <v>0.21</v>
      </c>
    </row>
    <row r="145" spans="1:9" x14ac:dyDescent="0.25">
      <c r="A145" s="1">
        <v>3</v>
      </c>
      <c r="B145" s="1" t="s">
        <v>148</v>
      </c>
      <c r="C145" s="1" t="s">
        <v>187</v>
      </c>
      <c r="D145" s="1" t="s">
        <v>377</v>
      </c>
      <c r="E145" s="1" t="s">
        <v>45</v>
      </c>
      <c r="F145" s="1">
        <v>6161000200</v>
      </c>
      <c r="G145" s="1" t="s">
        <v>45</v>
      </c>
      <c r="H145" t="str">
        <f>VLOOKUP(F145,Blad3!$1:$1048576,3,FALSE)</f>
        <v>61612000</v>
      </c>
      <c r="I145" s="13">
        <v>0.21</v>
      </c>
    </row>
    <row r="146" spans="1:9" x14ac:dyDescent="0.25">
      <c r="A146" s="1">
        <v>3</v>
      </c>
      <c r="B146" s="1" t="s">
        <v>148</v>
      </c>
      <c r="C146" s="1" t="s">
        <v>187</v>
      </c>
      <c r="D146" s="1" t="s">
        <v>378</v>
      </c>
      <c r="E146" s="1" t="s">
        <v>45</v>
      </c>
      <c r="F146" s="1">
        <v>6161000200</v>
      </c>
      <c r="G146" s="1" t="s">
        <v>45</v>
      </c>
      <c r="H146" t="str">
        <f>VLOOKUP(F146,Blad3!$1:$1048576,3,FALSE)</f>
        <v>61612000</v>
      </c>
      <c r="I146" s="13">
        <v>0.21</v>
      </c>
    </row>
    <row r="147" spans="1:9" x14ac:dyDescent="0.25">
      <c r="A147" s="1">
        <v>3</v>
      </c>
      <c r="B147" s="1" t="s">
        <v>148</v>
      </c>
      <c r="C147" s="1" t="s">
        <v>187</v>
      </c>
      <c r="D147" s="1" t="s">
        <v>379</v>
      </c>
      <c r="E147" s="1" t="s">
        <v>45</v>
      </c>
      <c r="F147" s="1">
        <v>6161000200</v>
      </c>
      <c r="G147" s="1" t="s">
        <v>45</v>
      </c>
      <c r="H147" t="str">
        <f>VLOOKUP(F147,Blad3!$1:$1048576,3,FALSE)</f>
        <v>61612000</v>
      </c>
      <c r="I147" s="13">
        <v>0.21</v>
      </c>
    </row>
    <row r="148" spans="1:9" x14ac:dyDescent="0.25">
      <c r="A148" s="1">
        <v>3</v>
      </c>
      <c r="B148" s="1" t="s">
        <v>148</v>
      </c>
      <c r="C148" s="1" t="s">
        <v>187</v>
      </c>
      <c r="D148" s="1" t="s">
        <v>381</v>
      </c>
      <c r="E148" s="1" t="s">
        <v>45</v>
      </c>
      <c r="F148" s="1">
        <v>6161000200</v>
      </c>
      <c r="G148" s="1" t="s">
        <v>45</v>
      </c>
      <c r="H148" t="str">
        <f>VLOOKUP(F148,Blad3!$1:$1048576,3,FALSE)</f>
        <v>61612000</v>
      </c>
      <c r="I148" s="13">
        <v>0.21</v>
      </c>
    </row>
    <row r="149" spans="1:9" x14ac:dyDescent="0.25">
      <c r="A149" s="1">
        <v>3</v>
      </c>
      <c r="B149" s="1" t="s">
        <v>148</v>
      </c>
      <c r="C149" s="1" t="s">
        <v>187</v>
      </c>
      <c r="D149" s="1" t="s">
        <v>383</v>
      </c>
      <c r="E149" s="1" t="s">
        <v>45</v>
      </c>
      <c r="F149" s="1">
        <v>6161000200</v>
      </c>
      <c r="G149" s="1" t="s">
        <v>45</v>
      </c>
      <c r="H149" t="str">
        <f>VLOOKUP(F149,Blad3!$1:$1048576,3,FALSE)</f>
        <v>61612000</v>
      </c>
      <c r="I149" s="13">
        <v>0.21</v>
      </c>
    </row>
    <row r="150" spans="1:9" x14ac:dyDescent="0.25">
      <c r="A150" s="1">
        <v>3</v>
      </c>
      <c r="B150" s="1" t="s">
        <v>148</v>
      </c>
      <c r="C150" s="1" t="s">
        <v>187</v>
      </c>
      <c r="D150" s="1" t="s">
        <v>384</v>
      </c>
      <c r="E150" s="1" t="s">
        <v>45</v>
      </c>
      <c r="F150" s="1">
        <v>6161000200</v>
      </c>
      <c r="G150" s="1" t="s">
        <v>45</v>
      </c>
      <c r="H150" t="str">
        <f>VLOOKUP(F150,Blad3!$1:$1048576,3,FALSE)</f>
        <v>61612000</v>
      </c>
      <c r="I150" s="13">
        <v>0.21</v>
      </c>
    </row>
    <row r="151" spans="1:9" x14ac:dyDescent="0.25">
      <c r="A151" s="1">
        <v>3</v>
      </c>
      <c r="B151" s="1" t="s">
        <v>148</v>
      </c>
      <c r="C151" s="1" t="s">
        <v>187</v>
      </c>
      <c r="D151" s="1" t="s">
        <v>385</v>
      </c>
      <c r="E151" s="1" t="s">
        <v>45</v>
      </c>
      <c r="F151" s="1">
        <v>6161000200</v>
      </c>
      <c r="G151" s="1" t="s">
        <v>45</v>
      </c>
      <c r="H151" t="str">
        <f>VLOOKUP(F151,Blad3!$1:$1048576,3,FALSE)</f>
        <v>61612000</v>
      </c>
      <c r="I151" s="13">
        <v>0.21</v>
      </c>
    </row>
    <row r="152" spans="1:9" x14ac:dyDescent="0.25">
      <c r="A152" s="1">
        <v>3</v>
      </c>
      <c r="B152" s="1" t="s">
        <v>148</v>
      </c>
      <c r="C152" s="1" t="s">
        <v>187</v>
      </c>
      <c r="D152" s="1" t="s">
        <v>388</v>
      </c>
      <c r="E152" s="1" t="s">
        <v>45</v>
      </c>
      <c r="F152" s="1">
        <v>6161000200</v>
      </c>
      <c r="G152" s="1" t="s">
        <v>45</v>
      </c>
      <c r="H152" t="str">
        <f>VLOOKUP(F152,Blad3!$1:$1048576,3,FALSE)</f>
        <v>61612000</v>
      </c>
      <c r="I152" s="13">
        <v>0.21</v>
      </c>
    </row>
    <row r="153" spans="1:9" x14ac:dyDescent="0.25">
      <c r="A153" s="1">
        <v>3</v>
      </c>
      <c r="B153" s="1" t="s">
        <v>148</v>
      </c>
      <c r="C153" s="1" t="s">
        <v>187</v>
      </c>
      <c r="D153" s="1" t="s">
        <v>390</v>
      </c>
      <c r="E153" s="1" t="s">
        <v>41</v>
      </c>
      <c r="F153" s="1">
        <v>6141100100</v>
      </c>
      <c r="G153" s="1" t="s">
        <v>66</v>
      </c>
      <c r="H153" t="str">
        <f>VLOOKUP(F153,Blad3!$1:$1048576,3,FALSE)</f>
        <v>61411000</v>
      </c>
      <c r="I153" s="13">
        <v>0.21</v>
      </c>
    </row>
    <row r="154" spans="1:9" x14ac:dyDescent="0.25">
      <c r="A154" s="1">
        <v>3</v>
      </c>
      <c r="B154" s="1" t="s">
        <v>148</v>
      </c>
      <c r="C154" s="1" t="s">
        <v>187</v>
      </c>
      <c r="D154" s="1" t="s">
        <v>391</v>
      </c>
      <c r="E154" s="1" t="s">
        <v>45</v>
      </c>
      <c r="F154" s="1">
        <v>6161000200</v>
      </c>
      <c r="G154" s="1" t="s">
        <v>45</v>
      </c>
      <c r="H154" t="str">
        <f>VLOOKUP(F154,Blad3!$1:$1048576,3,FALSE)</f>
        <v>61612000</v>
      </c>
      <c r="I154" s="13">
        <v>0.06</v>
      </c>
    </row>
    <row r="155" spans="1:9" x14ac:dyDescent="0.25">
      <c r="A155" s="1">
        <v>3</v>
      </c>
      <c r="B155" s="1" t="s">
        <v>148</v>
      </c>
      <c r="C155" s="1" t="s">
        <v>187</v>
      </c>
      <c r="D155" s="1" t="s">
        <v>393</v>
      </c>
      <c r="E155" s="1" t="s">
        <v>45</v>
      </c>
      <c r="F155" s="1">
        <v>6161000200</v>
      </c>
      <c r="G155" s="1" t="s">
        <v>45</v>
      </c>
      <c r="H155" t="str">
        <f>VLOOKUP(F155,Blad3!$1:$1048576,3,FALSE)</f>
        <v>61612000</v>
      </c>
      <c r="I155" s="13">
        <v>0.06</v>
      </c>
    </row>
    <row r="156" spans="1:9" x14ac:dyDescent="0.25">
      <c r="A156" s="1">
        <v>3</v>
      </c>
      <c r="B156" s="1" t="s">
        <v>148</v>
      </c>
      <c r="C156" s="1" t="s">
        <v>187</v>
      </c>
      <c r="D156" s="1" t="s">
        <v>395</v>
      </c>
      <c r="E156" s="1" t="s">
        <v>41</v>
      </c>
      <c r="F156" s="1">
        <v>6146000100</v>
      </c>
      <c r="G156" s="1" t="s">
        <v>183</v>
      </c>
      <c r="H156" t="str">
        <f>VLOOKUP(F156,Blad3!$1:$1048576,3,FALSE)</f>
        <v>61460000</v>
      </c>
      <c r="I156" s="13">
        <v>0.06</v>
      </c>
    </row>
    <row r="157" spans="1:9" x14ac:dyDescent="0.25">
      <c r="A157" s="1">
        <v>3</v>
      </c>
      <c r="B157" s="1" t="s">
        <v>148</v>
      </c>
      <c r="C157" s="1" t="s">
        <v>187</v>
      </c>
      <c r="D157" s="1" t="s">
        <v>398</v>
      </c>
      <c r="E157" s="1" t="s">
        <v>41</v>
      </c>
      <c r="F157" s="1">
        <v>6146000100</v>
      </c>
      <c r="G157" s="1" t="s">
        <v>183</v>
      </c>
      <c r="H157" t="str">
        <f>VLOOKUP(F157,Blad3!$1:$1048576,3,FALSE)</f>
        <v>61460000</v>
      </c>
      <c r="I157" s="13">
        <v>0.06</v>
      </c>
    </row>
    <row r="158" spans="1:9" x14ac:dyDescent="0.25">
      <c r="A158" s="1">
        <v>3</v>
      </c>
      <c r="B158" s="1" t="s">
        <v>148</v>
      </c>
      <c r="C158" s="1" t="s">
        <v>181</v>
      </c>
      <c r="D158" s="1" t="s">
        <v>399</v>
      </c>
      <c r="E158" s="1" t="s">
        <v>41</v>
      </c>
      <c r="F158" s="1">
        <v>6146000100</v>
      </c>
      <c r="G158" s="1" t="s">
        <v>183</v>
      </c>
      <c r="H158" t="str">
        <f>VLOOKUP(F158,Blad3!$1:$1048576,3,FALSE)</f>
        <v>61460000</v>
      </c>
      <c r="I158" s="13">
        <v>0.06</v>
      </c>
    </row>
    <row r="159" spans="1:9" x14ac:dyDescent="0.25">
      <c r="A159" s="1">
        <v>3</v>
      </c>
      <c r="B159" s="1" t="s">
        <v>148</v>
      </c>
      <c r="C159" s="1" t="s">
        <v>181</v>
      </c>
      <c r="D159" s="1" t="s">
        <v>400</v>
      </c>
      <c r="E159" s="1" t="s">
        <v>41</v>
      </c>
      <c r="F159" s="1">
        <v>6146000100</v>
      </c>
      <c r="G159" s="1" t="s">
        <v>183</v>
      </c>
      <c r="H159" t="str">
        <f>VLOOKUP(F159,Blad3!$1:$1048576,3,FALSE)</f>
        <v>61460000</v>
      </c>
      <c r="I159" s="13">
        <v>0.06</v>
      </c>
    </row>
    <row r="160" spans="1:9" x14ac:dyDescent="0.25">
      <c r="A160" s="1">
        <v>3</v>
      </c>
      <c r="B160" s="1" t="s">
        <v>148</v>
      </c>
      <c r="C160" s="1" t="s">
        <v>187</v>
      </c>
      <c r="D160" s="1" t="s">
        <v>401</v>
      </c>
      <c r="E160" s="1" t="s">
        <v>45</v>
      </c>
      <c r="F160" s="1">
        <v>6161000200</v>
      </c>
      <c r="G160" s="1" t="s">
        <v>45</v>
      </c>
      <c r="H160" t="str">
        <f>VLOOKUP(F160,Blad3!$1:$1048576,3,FALSE)</f>
        <v>61612000</v>
      </c>
      <c r="I160" s="13">
        <v>0.21</v>
      </c>
    </row>
    <row r="161" spans="1:9" x14ac:dyDescent="0.25">
      <c r="A161" s="1">
        <v>3</v>
      </c>
      <c r="B161" s="1" t="s">
        <v>148</v>
      </c>
      <c r="C161" s="1" t="s">
        <v>151</v>
      </c>
      <c r="D161" s="1" t="s">
        <v>403</v>
      </c>
      <c r="E161" s="1" t="s">
        <v>41</v>
      </c>
      <c r="F161" s="1">
        <v>6141100300</v>
      </c>
      <c r="G161" s="1" t="s">
        <v>349</v>
      </c>
      <c r="H161" t="str">
        <f>VLOOKUP(F161,Blad3!$1:$1048576,3,FALSE)</f>
        <v>61410000</v>
      </c>
      <c r="I161" s="13">
        <v>0.21</v>
      </c>
    </row>
    <row r="162" spans="1:9" x14ac:dyDescent="0.25">
      <c r="A162" s="1">
        <v>3</v>
      </c>
      <c r="B162" s="1" t="s">
        <v>148</v>
      </c>
      <c r="C162" s="1" t="s">
        <v>153</v>
      </c>
      <c r="D162" s="1" t="s">
        <v>405</v>
      </c>
      <c r="E162" s="1" t="s">
        <v>41</v>
      </c>
      <c r="F162" s="1">
        <v>6141100300</v>
      </c>
      <c r="G162" s="1" t="s">
        <v>349</v>
      </c>
      <c r="H162" t="str">
        <f>VLOOKUP(F162,Blad3!$1:$1048576,3,FALSE)</f>
        <v>61410000</v>
      </c>
      <c r="I162" s="13">
        <v>0.21</v>
      </c>
    </row>
    <row r="163" spans="1:9" x14ac:dyDescent="0.25">
      <c r="A163" s="1">
        <v>3</v>
      </c>
      <c r="B163" s="1" t="s">
        <v>148</v>
      </c>
      <c r="C163" s="1" t="s">
        <v>187</v>
      </c>
      <c r="D163" s="1" t="s">
        <v>407</v>
      </c>
      <c r="E163" s="1" t="s">
        <v>41</v>
      </c>
      <c r="F163" s="1">
        <v>6141100300</v>
      </c>
      <c r="G163" s="1" t="s">
        <v>349</v>
      </c>
      <c r="H163" t="str">
        <f>VLOOKUP(F163,Blad3!$1:$1048576,3,FALSE)</f>
        <v>61410000</v>
      </c>
      <c r="I163" s="13">
        <v>0.21</v>
      </c>
    </row>
    <row r="164" spans="1:9" x14ac:dyDescent="0.25">
      <c r="A164" s="1">
        <v>3</v>
      </c>
      <c r="B164" s="1" t="s">
        <v>148</v>
      </c>
      <c r="C164" s="1" t="s">
        <v>408</v>
      </c>
      <c r="D164" s="1" t="s">
        <v>409</v>
      </c>
      <c r="E164" s="1" t="s">
        <v>159</v>
      </c>
      <c r="F164" s="1">
        <v>6151000400</v>
      </c>
      <c r="G164" s="1" t="s">
        <v>160</v>
      </c>
      <c r="H164" t="str">
        <f>VLOOKUP(F164,Blad3!$1:$1048576,3,FALSE)</f>
        <v>61510000</v>
      </c>
      <c r="I164" s="13">
        <v>0.21</v>
      </c>
    </row>
    <row r="165" spans="1:9" x14ac:dyDescent="0.25">
      <c r="A165" s="1">
        <v>3</v>
      </c>
      <c r="B165" s="1" t="s">
        <v>148</v>
      </c>
      <c r="C165" s="1" t="s">
        <v>408</v>
      </c>
      <c r="D165" s="1" t="s">
        <v>412</v>
      </c>
      <c r="E165" s="1" t="s">
        <v>159</v>
      </c>
      <c r="F165" s="1">
        <v>6151000400</v>
      </c>
      <c r="G165" s="1" t="s">
        <v>160</v>
      </c>
      <c r="H165" t="str">
        <f>VLOOKUP(F165,Blad3!$1:$1048576,3,FALSE)</f>
        <v>61510000</v>
      </c>
      <c r="I165" s="13">
        <v>0</v>
      </c>
    </row>
    <row r="166" spans="1:9" x14ac:dyDescent="0.25">
      <c r="A166" s="1">
        <v>3</v>
      </c>
      <c r="B166" s="1" t="s">
        <v>148</v>
      </c>
      <c r="C166" s="1" t="s">
        <v>153</v>
      </c>
      <c r="D166" s="1" t="s">
        <v>414</v>
      </c>
      <c r="E166" s="1" t="s">
        <v>41</v>
      </c>
      <c r="F166" s="1">
        <v>6100000100</v>
      </c>
      <c r="G166" s="1" t="s">
        <v>415</v>
      </c>
      <c r="H166" t="str">
        <f>VLOOKUP(F166,Blad3!$1:$1048576,3,FALSE)</f>
        <v>61000000</v>
      </c>
      <c r="I166" s="13">
        <v>0</v>
      </c>
    </row>
    <row r="167" spans="1:9" x14ac:dyDescent="0.25">
      <c r="A167" s="1">
        <v>3</v>
      </c>
      <c r="B167" s="1" t="s">
        <v>148</v>
      </c>
      <c r="C167" s="1" t="s">
        <v>151</v>
      </c>
      <c r="D167" s="1" t="s">
        <v>416</v>
      </c>
      <c r="E167" s="1" t="s">
        <v>41</v>
      </c>
      <c r="F167" s="1">
        <v>6141100400</v>
      </c>
      <c r="G167" s="1" t="s">
        <v>417</v>
      </c>
      <c r="H167" t="str">
        <f>VLOOKUP(F167,Blad3!$1:$1048576,3,FALSE)</f>
        <v>61410000</v>
      </c>
      <c r="I167" s="13">
        <v>0.21</v>
      </c>
    </row>
    <row r="168" spans="1:9" x14ac:dyDescent="0.25">
      <c r="A168" s="1">
        <v>3</v>
      </c>
      <c r="B168" s="1" t="s">
        <v>148</v>
      </c>
      <c r="C168" s="1" t="s">
        <v>153</v>
      </c>
      <c r="D168" s="1" t="s">
        <v>418</v>
      </c>
      <c r="E168" s="1" t="s">
        <v>41</v>
      </c>
      <c r="F168" s="1">
        <v>6141100400</v>
      </c>
      <c r="G168" s="1" t="s">
        <v>417</v>
      </c>
      <c r="H168" t="str">
        <f>VLOOKUP(F168,Blad3!$1:$1048576,3,FALSE)</f>
        <v>61410000</v>
      </c>
      <c r="I168" s="13">
        <v>0.21</v>
      </c>
    </row>
    <row r="169" spans="1:9" x14ac:dyDescent="0.25">
      <c r="A169" s="1">
        <v>3</v>
      </c>
      <c r="B169" s="1" t="s">
        <v>148</v>
      </c>
      <c r="C169" s="1" t="s">
        <v>419</v>
      </c>
      <c r="D169" s="1" t="s">
        <v>420</v>
      </c>
      <c r="E169" s="1" t="s">
        <v>41</v>
      </c>
      <c r="F169" s="1">
        <v>6030000200</v>
      </c>
      <c r="G169" s="1" t="s">
        <v>109</v>
      </c>
      <c r="H169" t="str">
        <f>VLOOKUP(F169,Blad3!$1:$1048576,3,FALSE)</f>
        <v>60320000</v>
      </c>
      <c r="I169" s="13">
        <v>0</v>
      </c>
    </row>
    <row r="170" spans="1:9" x14ac:dyDescent="0.25">
      <c r="A170" s="1">
        <v>3</v>
      </c>
      <c r="B170" s="1" t="s">
        <v>148</v>
      </c>
      <c r="C170" s="1" t="s">
        <v>408</v>
      </c>
      <c r="D170" s="1" t="s">
        <v>421</v>
      </c>
      <c r="E170" s="1" t="s">
        <v>41</v>
      </c>
      <c r="F170" s="1">
        <v>6141000100</v>
      </c>
      <c r="G170" s="1" t="s">
        <v>92</v>
      </c>
      <c r="H170" t="str">
        <f>VLOOKUP(F170,Blad3!$1:$1048576,3,FALSE)</f>
        <v>61410000</v>
      </c>
      <c r="I170" s="13">
        <v>0.21</v>
      </c>
    </row>
    <row r="171" spans="1:9" x14ac:dyDescent="0.25">
      <c r="A171" s="1">
        <v>3</v>
      </c>
      <c r="B171" s="1" t="s">
        <v>148</v>
      </c>
      <c r="C171" s="1" t="s">
        <v>408</v>
      </c>
      <c r="D171" s="1" t="s">
        <v>422</v>
      </c>
      <c r="E171" s="1" t="s">
        <v>41</v>
      </c>
      <c r="F171" s="1">
        <v>6141000100</v>
      </c>
      <c r="G171" s="1" t="s">
        <v>92</v>
      </c>
      <c r="H171" t="str">
        <f>VLOOKUP(F171,Blad3!$1:$1048576,3,FALSE)</f>
        <v>61410000</v>
      </c>
      <c r="I171" s="13">
        <v>0</v>
      </c>
    </row>
    <row r="172" spans="1:9" x14ac:dyDescent="0.25">
      <c r="A172" s="1">
        <v>4</v>
      </c>
      <c r="B172" s="1" t="s">
        <v>32</v>
      </c>
      <c r="C172" s="1" t="s">
        <v>34</v>
      </c>
      <c r="D172" s="1" t="s">
        <v>34</v>
      </c>
      <c r="E172" s="1" t="s">
        <v>41</v>
      </c>
      <c r="F172" s="1">
        <v>6152000300</v>
      </c>
      <c r="G172" s="1" t="s">
        <v>43</v>
      </c>
      <c r="H172" t="str">
        <f>VLOOKUP(F172,Blad3!$1:$1048576,3,FALSE)</f>
        <v>61530000</v>
      </c>
      <c r="I172" s="13">
        <v>0.06</v>
      </c>
    </row>
    <row r="173" spans="1:9" x14ac:dyDescent="0.25">
      <c r="A173" s="1">
        <v>4</v>
      </c>
      <c r="B173" s="1" t="s">
        <v>32</v>
      </c>
      <c r="C173" s="1" t="s">
        <v>34</v>
      </c>
      <c r="D173" s="1" t="s">
        <v>34</v>
      </c>
      <c r="E173" s="1" t="s">
        <v>45</v>
      </c>
      <c r="F173" s="1">
        <v>6161000200</v>
      </c>
      <c r="G173" s="1" t="s">
        <v>45</v>
      </c>
      <c r="H173" t="str">
        <f>VLOOKUP(F173,Blad3!$1:$1048576,3,FALSE)</f>
        <v>61612000</v>
      </c>
      <c r="I173" s="13">
        <v>0.06</v>
      </c>
    </row>
    <row r="174" spans="1:9" x14ac:dyDescent="0.25">
      <c r="A174" s="1">
        <v>4</v>
      </c>
      <c r="B174" s="1" t="s">
        <v>32</v>
      </c>
      <c r="C174" s="1" t="s">
        <v>34</v>
      </c>
      <c r="D174" s="1" t="s">
        <v>34</v>
      </c>
      <c r="E174" s="1" t="s">
        <v>46</v>
      </c>
      <c r="F174" s="1">
        <v>6146000400</v>
      </c>
      <c r="G174" s="1" t="s">
        <v>47</v>
      </c>
      <c r="H174" t="str">
        <f>VLOOKUP(F174,Blad3!$1:$1048576,3,FALSE)</f>
        <v>61460000</v>
      </c>
      <c r="I174" s="13">
        <v>0.06</v>
      </c>
    </row>
    <row r="175" spans="1:9" x14ac:dyDescent="0.25">
      <c r="A175" s="1">
        <v>4</v>
      </c>
      <c r="B175" s="1" t="s">
        <v>50</v>
      </c>
      <c r="C175" s="1" t="s">
        <v>51</v>
      </c>
      <c r="D175" s="1" t="s">
        <v>34</v>
      </c>
      <c r="E175" s="1" t="s">
        <v>51</v>
      </c>
      <c r="F175" s="1">
        <v>4991000100</v>
      </c>
      <c r="G175" s="1" t="s">
        <v>54</v>
      </c>
      <c r="I175" s="13">
        <v>0</v>
      </c>
    </row>
    <row r="176" spans="1:9" x14ac:dyDescent="0.25">
      <c r="A176" s="1">
        <v>4</v>
      </c>
      <c r="B176" s="1" t="s">
        <v>32</v>
      </c>
      <c r="C176" s="1" t="s">
        <v>55</v>
      </c>
      <c r="D176" s="1" t="s">
        <v>55</v>
      </c>
      <c r="E176" s="1" t="s">
        <v>41</v>
      </c>
      <c r="F176" s="1">
        <v>6146000900</v>
      </c>
      <c r="G176" s="1" t="s">
        <v>56</v>
      </c>
      <c r="H176" t="str">
        <f>VLOOKUP(F176,Blad3!$1:$1048576,3,FALSE)</f>
        <v>61490000</v>
      </c>
      <c r="I176" s="13">
        <v>0.06</v>
      </c>
    </row>
    <row r="177" spans="1:9" x14ac:dyDescent="0.25">
      <c r="A177" s="1">
        <v>4</v>
      </c>
      <c r="B177" s="1" t="s">
        <v>32</v>
      </c>
      <c r="C177" s="1" t="s">
        <v>55</v>
      </c>
      <c r="D177" s="1" t="s">
        <v>55</v>
      </c>
      <c r="E177" s="1" t="s">
        <v>57</v>
      </c>
      <c r="F177" s="1">
        <v>6030000300</v>
      </c>
      <c r="G177" s="1" t="s">
        <v>58</v>
      </c>
      <c r="H177" t="str">
        <f>VLOOKUP(F177,Blad3!$1:$1048576,3,FALSE)</f>
        <v>60330000</v>
      </c>
      <c r="I177" s="13">
        <v>0.06</v>
      </c>
    </row>
    <row r="178" spans="1:9" x14ac:dyDescent="0.25">
      <c r="A178" s="1">
        <v>4</v>
      </c>
      <c r="B178" s="1" t="s">
        <v>32</v>
      </c>
      <c r="C178" s="1" t="s">
        <v>55</v>
      </c>
      <c r="D178" s="1" t="s">
        <v>55</v>
      </c>
      <c r="E178" s="1" t="s">
        <v>45</v>
      </c>
      <c r="F178" s="1">
        <v>6161000200</v>
      </c>
      <c r="G178" s="1" t="s">
        <v>45</v>
      </c>
      <c r="H178" t="str">
        <f>VLOOKUP(F178,Blad3!$1:$1048576,3,FALSE)</f>
        <v>61612000</v>
      </c>
      <c r="I178" s="13">
        <v>0.06</v>
      </c>
    </row>
    <row r="179" spans="1:9" x14ac:dyDescent="0.25">
      <c r="A179" s="1">
        <v>4</v>
      </c>
      <c r="B179" s="1" t="s">
        <v>32</v>
      </c>
      <c r="C179" s="1" t="s">
        <v>55</v>
      </c>
      <c r="D179" s="1" t="s">
        <v>55</v>
      </c>
      <c r="E179" s="1" t="s">
        <v>59</v>
      </c>
      <c r="F179" s="1">
        <v>2231000000</v>
      </c>
      <c r="G179" s="1" t="s">
        <v>61</v>
      </c>
      <c r="H179" t="str">
        <f>VLOOKUP(F179,Blad3!$1:$1048576,3,FALSE)</f>
        <v>22310000</v>
      </c>
      <c r="I179" s="13">
        <v>0.06</v>
      </c>
    </row>
    <row r="180" spans="1:9" x14ac:dyDescent="0.25">
      <c r="A180" s="1">
        <v>4</v>
      </c>
      <c r="B180" s="1" t="s">
        <v>32</v>
      </c>
      <c r="C180" s="1" t="s">
        <v>55</v>
      </c>
      <c r="D180" s="1" t="s">
        <v>55</v>
      </c>
      <c r="E180" s="1" t="s">
        <v>51</v>
      </c>
      <c r="F180" s="1">
        <v>4991000100</v>
      </c>
      <c r="G180" s="1" t="s">
        <v>54</v>
      </c>
      <c r="I180" s="13">
        <v>0</v>
      </c>
    </row>
    <row r="181" spans="1:9" x14ac:dyDescent="0.25">
      <c r="A181" s="1">
        <v>4</v>
      </c>
      <c r="B181" s="1" t="s">
        <v>32</v>
      </c>
      <c r="C181" s="1" t="s">
        <v>63</v>
      </c>
      <c r="D181" s="1" t="s">
        <v>64</v>
      </c>
      <c r="E181" s="1" t="s">
        <v>41</v>
      </c>
      <c r="F181" s="1">
        <v>6141100100</v>
      </c>
      <c r="G181" s="1" t="s">
        <v>66</v>
      </c>
      <c r="H181" t="str">
        <f>VLOOKUP(F181,Blad3!$1:$1048576,3,FALSE)</f>
        <v>61411000</v>
      </c>
      <c r="I181" s="13">
        <v>0.21</v>
      </c>
    </row>
    <row r="182" spans="1:9" x14ac:dyDescent="0.25">
      <c r="A182" s="1">
        <v>4</v>
      </c>
      <c r="B182" s="1" t="s">
        <v>32</v>
      </c>
      <c r="C182" s="1" t="s">
        <v>63</v>
      </c>
      <c r="D182" s="1" t="s">
        <v>64</v>
      </c>
      <c r="E182" s="1" t="s">
        <v>45</v>
      </c>
      <c r="F182" s="1">
        <v>6161000200</v>
      </c>
      <c r="G182" s="1" t="s">
        <v>45</v>
      </c>
      <c r="H182" t="str">
        <f>VLOOKUP(F182,Blad3!$1:$1048576,3,FALSE)</f>
        <v>61612000</v>
      </c>
      <c r="I182" s="13">
        <v>0.21</v>
      </c>
    </row>
    <row r="183" spans="1:9" x14ac:dyDescent="0.25">
      <c r="A183" s="1">
        <v>4</v>
      </c>
      <c r="B183" s="1" t="s">
        <v>32</v>
      </c>
      <c r="C183" s="1" t="s">
        <v>424</v>
      </c>
      <c r="D183" s="1" t="s">
        <v>424</v>
      </c>
      <c r="E183" s="1" t="s">
        <v>45</v>
      </c>
      <c r="F183" s="1">
        <v>6161000200</v>
      </c>
      <c r="G183" s="1" t="s">
        <v>45</v>
      </c>
      <c r="H183" t="str">
        <f>VLOOKUP(F183,Blad3!$1:$1048576,3,FALSE)</f>
        <v>61612000</v>
      </c>
      <c r="I183" s="13">
        <v>0.21</v>
      </c>
    </row>
    <row r="184" spans="1:9" x14ac:dyDescent="0.25">
      <c r="A184" s="1">
        <v>5</v>
      </c>
      <c r="B184" s="1" t="s">
        <v>94</v>
      </c>
      <c r="C184" s="1" t="s">
        <v>95</v>
      </c>
      <c r="D184" s="1" t="s">
        <v>96</v>
      </c>
      <c r="E184" s="1" t="s">
        <v>41</v>
      </c>
      <c r="F184" s="1">
        <v>6141000100</v>
      </c>
      <c r="G184" s="1" t="s">
        <v>92</v>
      </c>
      <c r="H184" t="str">
        <f>VLOOKUP(F184,Blad3!$1:$1048576,3,FALSE)</f>
        <v>61410000</v>
      </c>
      <c r="I184" s="13">
        <v>0.21</v>
      </c>
    </row>
    <row r="185" spans="1:9" x14ac:dyDescent="0.25">
      <c r="A185" s="1">
        <v>5</v>
      </c>
      <c r="B185" s="1" t="s">
        <v>94</v>
      </c>
      <c r="C185" s="1" t="s">
        <v>95</v>
      </c>
      <c r="D185" s="1" t="s">
        <v>96</v>
      </c>
      <c r="E185" s="1" t="s">
        <v>59</v>
      </c>
      <c r="F185" s="1">
        <v>2301000000</v>
      </c>
      <c r="G185" s="1" t="s">
        <v>76</v>
      </c>
      <c r="H185" t="str">
        <f>VLOOKUP(F185,Blad3!$1:$1048576,3,FALSE)</f>
        <v>23010000</v>
      </c>
      <c r="I185" s="13">
        <v>0.21</v>
      </c>
    </row>
    <row r="186" spans="1:9" x14ac:dyDescent="0.25">
      <c r="A186" s="1">
        <v>5</v>
      </c>
      <c r="B186" s="1" t="s">
        <v>94</v>
      </c>
      <c r="C186" s="1" t="s">
        <v>95</v>
      </c>
      <c r="D186" s="1" t="s">
        <v>97</v>
      </c>
      <c r="E186" s="1" t="s">
        <v>41</v>
      </c>
      <c r="F186" s="1">
        <v>6146000900</v>
      </c>
      <c r="G186" s="1" t="s">
        <v>56</v>
      </c>
      <c r="H186" t="str">
        <f>VLOOKUP(F186,Blad3!$1:$1048576,3,FALSE)</f>
        <v>61490000</v>
      </c>
      <c r="I186" s="13">
        <v>0.21</v>
      </c>
    </row>
    <row r="187" spans="1:9" x14ac:dyDescent="0.25">
      <c r="A187" s="1">
        <v>5</v>
      </c>
      <c r="B187" s="1" t="s">
        <v>94</v>
      </c>
      <c r="C187" s="1" t="s">
        <v>95</v>
      </c>
      <c r="D187" s="1" t="s">
        <v>97</v>
      </c>
      <c r="E187" s="1" t="s">
        <v>59</v>
      </c>
      <c r="F187" s="1">
        <v>2402000000</v>
      </c>
      <c r="G187" s="1" t="s">
        <v>98</v>
      </c>
      <c r="H187" t="str">
        <f>VLOOKUP(F187,Blad3!$1:$1048576,3,FALSE)</f>
        <v>24020000</v>
      </c>
      <c r="I187" s="13">
        <v>0.21</v>
      </c>
    </row>
    <row r="188" spans="1:9" x14ac:dyDescent="0.25">
      <c r="A188" s="1">
        <v>5</v>
      </c>
      <c r="B188" s="1" t="s">
        <v>94</v>
      </c>
      <c r="C188" s="1" t="s">
        <v>95</v>
      </c>
      <c r="D188" s="1" t="s">
        <v>99</v>
      </c>
      <c r="E188" s="1" t="s">
        <v>45</v>
      </c>
      <c r="F188" s="1">
        <v>6161000200</v>
      </c>
      <c r="G188" s="1" t="s">
        <v>45</v>
      </c>
      <c r="H188" t="str">
        <f>VLOOKUP(F188,Blad3!$1:$1048576,3,FALSE)</f>
        <v>61612000</v>
      </c>
      <c r="I188" s="13">
        <v>0.21</v>
      </c>
    </row>
    <row r="189" spans="1:9" x14ac:dyDescent="0.25">
      <c r="A189" s="1">
        <v>5</v>
      </c>
      <c r="B189" s="1" t="s">
        <v>94</v>
      </c>
      <c r="C189" s="1" t="s">
        <v>95</v>
      </c>
      <c r="D189" s="1" t="s">
        <v>99</v>
      </c>
      <c r="E189" s="1" t="s">
        <v>59</v>
      </c>
      <c r="F189" s="1">
        <v>2110000000</v>
      </c>
      <c r="G189" s="1" t="s">
        <v>100</v>
      </c>
      <c r="H189" t="str">
        <f>VLOOKUP(F189,Blad3!$1:$1048576,3,FALSE)</f>
        <v>21100000</v>
      </c>
      <c r="I189" s="13">
        <v>0.21</v>
      </c>
    </row>
    <row r="190" spans="1:9" x14ac:dyDescent="0.25">
      <c r="A190" s="1">
        <v>5</v>
      </c>
      <c r="B190" s="1" t="s">
        <v>94</v>
      </c>
      <c r="C190" s="1" t="s">
        <v>95</v>
      </c>
      <c r="D190" s="1" t="s">
        <v>101</v>
      </c>
      <c r="E190" s="1" t="s">
        <v>41</v>
      </c>
      <c r="F190" s="1">
        <v>6146000900</v>
      </c>
      <c r="G190" s="1" t="s">
        <v>56</v>
      </c>
      <c r="H190" t="str">
        <f>VLOOKUP(F190,Blad3!$1:$1048576,3,FALSE)</f>
        <v>61490000</v>
      </c>
      <c r="I190" s="13">
        <v>0.21</v>
      </c>
    </row>
    <row r="191" spans="1:9" x14ac:dyDescent="0.25">
      <c r="A191" s="1">
        <v>5</v>
      </c>
      <c r="B191" s="1" t="s">
        <v>94</v>
      </c>
      <c r="C191" s="1" t="s">
        <v>95</v>
      </c>
      <c r="D191" s="1" t="s">
        <v>103</v>
      </c>
      <c r="E191" s="1" t="s">
        <v>45</v>
      </c>
      <c r="F191" s="1">
        <v>6161000200</v>
      </c>
      <c r="G191" s="1" t="s">
        <v>45</v>
      </c>
      <c r="H191" t="str">
        <f>VLOOKUP(F191,Blad3!$1:$1048576,3,FALSE)</f>
        <v>61612000</v>
      </c>
      <c r="I191" s="13">
        <v>0.21</v>
      </c>
    </row>
    <row r="192" spans="1:9" x14ac:dyDescent="0.25">
      <c r="A192" s="1">
        <v>5</v>
      </c>
      <c r="B192" s="1" t="s">
        <v>94</v>
      </c>
      <c r="C192" s="1" t="s">
        <v>95</v>
      </c>
      <c r="D192" s="1" t="s">
        <v>103</v>
      </c>
      <c r="E192" s="1" t="s">
        <v>59</v>
      </c>
      <c r="F192" s="1">
        <v>2110000000</v>
      </c>
      <c r="G192" s="1" t="s">
        <v>100</v>
      </c>
      <c r="H192" t="str">
        <f>VLOOKUP(F192,Blad3!$1:$1048576,3,FALSE)</f>
        <v>21100000</v>
      </c>
      <c r="I192" s="13">
        <v>0.21</v>
      </c>
    </row>
    <row r="193" spans="1:9" x14ac:dyDescent="0.25">
      <c r="A193" s="1">
        <v>5</v>
      </c>
      <c r="B193" s="1" t="s">
        <v>94</v>
      </c>
      <c r="C193" s="1" t="s">
        <v>112</v>
      </c>
      <c r="D193" s="1" t="s">
        <v>112</v>
      </c>
      <c r="E193" s="1" t="s">
        <v>41</v>
      </c>
      <c r="F193" s="1">
        <v>6146000900</v>
      </c>
      <c r="G193" s="1" t="s">
        <v>56</v>
      </c>
      <c r="H193" t="str">
        <f>VLOOKUP(F193,Blad3!$1:$1048576,3,FALSE)</f>
        <v>61490000</v>
      </c>
      <c r="I193" s="13">
        <v>0.21</v>
      </c>
    </row>
    <row r="194" spans="1:9" x14ac:dyDescent="0.25">
      <c r="A194" s="1">
        <v>5</v>
      </c>
      <c r="B194" s="1" t="s">
        <v>94</v>
      </c>
      <c r="C194" s="1" t="s">
        <v>112</v>
      </c>
      <c r="D194" s="1" t="s">
        <v>112</v>
      </c>
      <c r="E194" s="1" t="s">
        <v>59</v>
      </c>
      <c r="F194" s="1">
        <v>2301000000</v>
      </c>
      <c r="G194" s="1" t="s">
        <v>76</v>
      </c>
      <c r="H194" t="str">
        <f>VLOOKUP(F194,Blad3!$1:$1048576,3,FALSE)</f>
        <v>23010000</v>
      </c>
      <c r="I194" s="13">
        <v>0.21</v>
      </c>
    </row>
    <row r="195" spans="1:9" x14ac:dyDescent="0.25">
      <c r="A195" s="1">
        <v>5</v>
      </c>
      <c r="B195" s="1" t="s">
        <v>94</v>
      </c>
      <c r="C195" s="1" t="s">
        <v>112</v>
      </c>
      <c r="D195" s="1" t="s">
        <v>114</v>
      </c>
      <c r="E195" s="1" t="s">
        <v>41</v>
      </c>
      <c r="F195" s="1">
        <v>6146000900</v>
      </c>
      <c r="G195" s="1" t="s">
        <v>56</v>
      </c>
      <c r="H195" t="str">
        <f>VLOOKUP(F195,Blad3!$1:$1048576,3,FALSE)</f>
        <v>61490000</v>
      </c>
      <c r="I195" s="13">
        <v>0.21</v>
      </c>
    </row>
    <row r="196" spans="1:9" x14ac:dyDescent="0.25">
      <c r="A196" s="1">
        <v>5</v>
      </c>
      <c r="B196" s="1" t="s">
        <v>94</v>
      </c>
      <c r="C196" s="1" t="s">
        <v>112</v>
      </c>
      <c r="D196" s="1" t="s">
        <v>114</v>
      </c>
      <c r="E196" s="1" t="s">
        <v>59</v>
      </c>
      <c r="F196" s="1">
        <v>2301000000</v>
      </c>
      <c r="G196" s="1" t="s">
        <v>76</v>
      </c>
      <c r="H196" t="str">
        <f>VLOOKUP(F196,Blad3!$1:$1048576,3,FALSE)</f>
        <v>23010000</v>
      </c>
      <c r="I196" s="13">
        <v>0.21</v>
      </c>
    </row>
    <row r="197" spans="1:9" x14ac:dyDescent="0.25">
      <c r="A197" s="1">
        <v>5</v>
      </c>
      <c r="B197" s="1" t="s">
        <v>94</v>
      </c>
      <c r="C197" s="1" t="s">
        <v>175</v>
      </c>
      <c r="D197" s="2" t="s">
        <v>176</v>
      </c>
      <c r="E197" s="1" t="s">
        <v>59</v>
      </c>
      <c r="F197" s="1">
        <v>2301000000</v>
      </c>
      <c r="G197" s="1" t="s">
        <v>76</v>
      </c>
      <c r="H197" t="str">
        <f>VLOOKUP(F197,Blad3!$1:$1048576,3,FALSE)</f>
        <v>23010000</v>
      </c>
      <c r="I197" s="13">
        <v>0.21</v>
      </c>
    </row>
    <row r="198" spans="1:9" x14ac:dyDescent="0.25">
      <c r="A198" s="1">
        <v>5</v>
      </c>
      <c r="B198" s="1" t="s">
        <v>94</v>
      </c>
      <c r="C198" s="1" t="s">
        <v>175</v>
      </c>
      <c r="D198" s="1" t="s">
        <v>176</v>
      </c>
      <c r="E198" s="1" t="s">
        <v>59</v>
      </c>
      <c r="F198" s="1">
        <v>2301000000</v>
      </c>
      <c r="G198" s="1" t="s">
        <v>76</v>
      </c>
      <c r="H198" t="str">
        <f>VLOOKUP(F198,Blad3!$1:$1048576,3,FALSE)</f>
        <v>23010000</v>
      </c>
      <c r="I198" s="13">
        <v>0.21</v>
      </c>
    </row>
    <row r="199" spans="1:9" x14ac:dyDescent="0.25">
      <c r="A199" s="1">
        <v>5</v>
      </c>
      <c r="B199" s="1" t="s">
        <v>94</v>
      </c>
      <c r="C199" s="1" t="s">
        <v>175</v>
      </c>
      <c r="D199" s="1" t="s">
        <v>176</v>
      </c>
      <c r="E199" s="1" t="s">
        <v>41</v>
      </c>
      <c r="F199" s="1">
        <v>6141100100</v>
      </c>
      <c r="G199" s="1" t="s">
        <v>66</v>
      </c>
      <c r="H199" t="str">
        <f>VLOOKUP(F199,Blad3!$1:$1048576,3,FALSE)</f>
        <v>61411000</v>
      </c>
      <c r="I199" s="13">
        <v>0.21</v>
      </c>
    </row>
    <row r="200" spans="1:9" x14ac:dyDescent="0.25">
      <c r="A200" s="1">
        <v>5</v>
      </c>
      <c r="B200" s="1" t="s">
        <v>94</v>
      </c>
      <c r="C200" s="1"/>
      <c r="D200" s="1" t="s">
        <v>425</v>
      </c>
      <c r="E200" s="1" t="s">
        <v>41</v>
      </c>
      <c r="F200" s="1">
        <v>6141100300</v>
      </c>
      <c r="G200" s="1" t="s">
        <v>349</v>
      </c>
      <c r="H200" t="str">
        <f>VLOOKUP(F200,Blad3!$1:$1048576,3,FALSE)</f>
        <v>61410000</v>
      </c>
      <c r="I200" s="13">
        <v>0.21</v>
      </c>
    </row>
    <row r="201" spans="1:9" x14ac:dyDescent="0.25">
      <c r="A201" s="1">
        <v>5</v>
      </c>
      <c r="B201" s="1" t="s">
        <v>73</v>
      </c>
      <c r="C201" s="1"/>
      <c r="D201" s="1" t="s">
        <v>425</v>
      </c>
      <c r="E201" s="1" t="s">
        <v>41</v>
      </c>
      <c r="F201" s="1">
        <v>6141100300</v>
      </c>
      <c r="G201" s="1" t="s">
        <v>349</v>
      </c>
      <c r="H201" t="str">
        <f>VLOOKUP(F201,Blad3!$1:$1048576,3,FALSE)</f>
        <v>61410000</v>
      </c>
      <c r="I201" s="13">
        <v>0.21</v>
      </c>
    </row>
    <row r="202" spans="1:9" x14ac:dyDescent="0.25">
      <c r="A202" s="1">
        <v>5</v>
      </c>
      <c r="B202" s="1" t="s">
        <v>94</v>
      </c>
      <c r="C202" s="1" t="s">
        <v>426</v>
      </c>
      <c r="D202" s="1" t="s">
        <v>427</v>
      </c>
      <c r="E202" s="1" t="s">
        <v>59</v>
      </c>
      <c r="F202" s="1">
        <v>2301000000</v>
      </c>
      <c r="G202" s="1" t="s">
        <v>76</v>
      </c>
      <c r="H202" t="str">
        <f>VLOOKUP(F202,Blad3!$1:$1048576,3,FALSE)</f>
        <v>23010000</v>
      </c>
      <c r="I202" s="13">
        <v>0.21</v>
      </c>
    </row>
    <row r="203" spans="1:9" x14ac:dyDescent="0.25">
      <c r="A203" s="1">
        <v>5</v>
      </c>
      <c r="B203" s="1" t="s">
        <v>94</v>
      </c>
      <c r="C203" s="1"/>
      <c r="D203" s="1" t="s">
        <v>428</v>
      </c>
      <c r="E203" s="1" t="s">
        <v>59</v>
      </c>
      <c r="F203" s="1">
        <v>2402000000</v>
      </c>
      <c r="G203" s="1" t="s">
        <v>98</v>
      </c>
      <c r="H203" t="str">
        <f>VLOOKUP(F203,Blad3!$1:$1048576,3,FALSE)</f>
        <v>24020000</v>
      </c>
      <c r="I203" s="13">
        <v>0.21</v>
      </c>
    </row>
    <row r="204" spans="1:9" x14ac:dyDescent="0.25">
      <c r="A204" s="1">
        <v>5</v>
      </c>
      <c r="B204" s="1" t="s">
        <v>94</v>
      </c>
      <c r="C204" s="1" t="s">
        <v>95</v>
      </c>
      <c r="D204" s="1" t="s">
        <v>429</v>
      </c>
      <c r="E204" s="1" t="s">
        <v>59</v>
      </c>
      <c r="F204" s="1">
        <v>2402000000</v>
      </c>
      <c r="G204" s="1" t="s">
        <v>98</v>
      </c>
      <c r="H204" t="str">
        <f>VLOOKUP(F204,Blad3!$1:$1048576,3,FALSE)</f>
        <v>24020000</v>
      </c>
      <c r="I204" s="13">
        <v>0.21</v>
      </c>
    </row>
    <row r="205" spans="1:9" x14ac:dyDescent="0.25">
      <c r="A205" s="1">
        <v>5</v>
      </c>
      <c r="B205" s="1" t="s">
        <v>94</v>
      </c>
      <c r="C205" s="1" t="s">
        <v>95</v>
      </c>
      <c r="D205" s="1" t="s">
        <v>430</v>
      </c>
      <c r="E205" s="1" t="s">
        <v>59</v>
      </c>
      <c r="F205" s="1">
        <v>2302000000</v>
      </c>
      <c r="G205" s="1" t="s">
        <v>125</v>
      </c>
      <c r="H205" t="str">
        <f>VLOOKUP(F205,Blad3!$1:$1048576,3,FALSE)</f>
        <v>23020000</v>
      </c>
      <c r="I205" s="13">
        <v>0.21</v>
      </c>
    </row>
    <row r="206" spans="1:9" x14ac:dyDescent="0.25">
      <c r="A206" s="1">
        <v>5</v>
      </c>
      <c r="B206" s="1" t="s">
        <v>94</v>
      </c>
      <c r="C206" s="1" t="s">
        <v>95</v>
      </c>
      <c r="D206" s="1" t="s">
        <v>432</v>
      </c>
      <c r="E206" s="1" t="s">
        <v>41</v>
      </c>
      <c r="F206" s="1">
        <v>6146000900</v>
      </c>
      <c r="G206" s="1" t="s">
        <v>56</v>
      </c>
      <c r="H206" t="str">
        <f>VLOOKUP(F206,Blad3!$1:$1048576,3,FALSE)</f>
        <v>61490000</v>
      </c>
      <c r="I206" s="13">
        <v>0.21</v>
      </c>
    </row>
    <row r="207" spans="1:9" x14ac:dyDescent="0.25">
      <c r="A207" s="1">
        <v>5</v>
      </c>
      <c r="B207" s="1" t="s">
        <v>94</v>
      </c>
      <c r="C207" s="1" t="s">
        <v>95</v>
      </c>
      <c r="D207" s="1" t="s">
        <v>433</v>
      </c>
      <c r="E207" s="1" t="s">
        <v>59</v>
      </c>
      <c r="F207" s="1">
        <v>2402000000</v>
      </c>
      <c r="G207" s="1" t="s">
        <v>98</v>
      </c>
      <c r="H207" t="str">
        <f>VLOOKUP(F207,Blad3!$1:$1048576,3,FALSE)</f>
        <v>24020000</v>
      </c>
      <c r="I207" s="13">
        <v>0.21</v>
      </c>
    </row>
    <row r="208" spans="1:9" x14ac:dyDescent="0.25">
      <c r="A208" s="1">
        <v>5</v>
      </c>
      <c r="B208" s="1" t="s">
        <v>94</v>
      </c>
      <c r="C208" s="1" t="s">
        <v>95</v>
      </c>
      <c r="D208" s="1" t="s">
        <v>434</v>
      </c>
      <c r="E208" s="1" t="s">
        <v>59</v>
      </c>
      <c r="F208" s="1">
        <v>2302000000</v>
      </c>
      <c r="G208" s="1" t="s">
        <v>125</v>
      </c>
      <c r="H208" t="str">
        <f>VLOOKUP(F208,Blad3!$1:$1048576,3,FALSE)</f>
        <v>23020000</v>
      </c>
      <c r="I208" s="13">
        <v>0.21</v>
      </c>
    </row>
    <row r="209" spans="1:9" x14ac:dyDescent="0.25">
      <c r="A209" s="1">
        <v>5</v>
      </c>
      <c r="B209" s="1" t="s">
        <v>94</v>
      </c>
      <c r="C209" s="1" t="s">
        <v>95</v>
      </c>
      <c r="D209" s="1" t="s">
        <v>435</v>
      </c>
      <c r="E209" s="1" t="s">
        <v>59</v>
      </c>
      <c r="F209" s="1">
        <v>2302000000</v>
      </c>
      <c r="G209" s="1" t="s">
        <v>125</v>
      </c>
      <c r="H209" t="str">
        <f>VLOOKUP(F209,Blad3!$1:$1048576,3,FALSE)</f>
        <v>23020000</v>
      </c>
      <c r="I209" s="13">
        <v>0.21</v>
      </c>
    </row>
    <row r="210" spans="1:9" x14ac:dyDescent="0.25">
      <c r="A210" s="1">
        <v>5</v>
      </c>
      <c r="B210" s="1" t="s">
        <v>94</v>
      </c>
      <c r="C210" s="1" t="s">
        <v>436</v>
      </c>
      <c r="D210" s="1" t="s">
        <v>437</v>
      </c>
      <c r="E210" s="1" t="s">
        <v>41</v>
      </c>
      <c r="F210" s="1">
        <v>6146000500</v>
      </c>
      <c r="G210" s="1" t="s">
        <v>438</v>
      </c>
      <c r="H210" t="str">
        <f>VLOOKUP(F210,Blad3!$1:$1048576,3,FALSE)</f>
        <v>61460000</v>
      </c>
      <c r="I210" s="13">
        <v>0.21</v>
      </c>
    </row>
    <row r="211" spans="1:9" x14ac:dyDescent="0.25">
      <c r="A211" s="1">
        <v>5</v>
      </c>
      <c r="B211" s="1" t="s">
        <v>94</v>
      </c>
      <c r="C211" s="1"/>
      <c r="D211" s="1" t="s">
        <v>439</v>
      </c>
      <c r="E211" s="1" t="s">
        <v>59</v>
      </c>
      <c r="F211" s="1">
        <v>2301000000</v>
      </c>
      <c r="G211" s="1" t="s">
        <v>76</v>
      </c>
      <c r="H211" t="str">
        <f>VLOOKUP(F211,Blad3!$1:$1048576,3,FALSE)</f>
        <v>23010000</v>
      </c>
      <c r="I211" s="13">
        <v>0.21</v>
      </c>
    </row>
    <row r="212" spans="1:9" x14ac:dyDescent="0.25">
      <c r="A212" s="1">
        <v>5</v>
      </c>
      <c r="B212" s="1" t="s">
        <v>94</v>
      </c>
      <c r="C212" s="1" t="s">
        <v>95</v>
      </c>
      <c r="D212" s="1" t="s">
        <v>441</v>
      </c>
      <c r="E212" s="1" t="s">
        <v>59</v>
      </c>
      <c r="F212" s="1">
        <v>2302000000</v>
      </c>
      <c r="G212" s="1" t="s">
        <v>125</v>
      </c>
      <c r="H212" t="str">
        <f>VLOOKUP(F212,Blad3!$1:$1048576,3,FALSE)</f>
        <v>23020000</v>
      </c>
      <c r="I212" s="13">
        <v>0.06</v>
      </c>
    </row>
    <row r="213" spans="1:9" x14ac:dyDescent="0.25">
      <c r="A213" s="1">
        <v>5</v>
      </c>
      <c r="B213" s="1" t="s">
        <v>94</v>
      </c>
      <c r="C213" s="1" t="s">
        <v>95</v>
      </c>
      <c r="D213" s="1" t="s">
        <v>443</v>
      </c>
      <c r="E213" s="1" t="s">
        <v>59</v>
      </c>
      <c r="F213" s="1">
        <v>2302000000</v>
      </c>
      <c r="G213" s="1" t="s">
        <v>125</v>
      </c>
      <c r="H213" t="str">
        <f>VLOOKUP(F213,Blad3!$1:$1048576,3,FALSE)</f>
        <v>23020000</v>
      </c>
      <c r="I213" s="13">
        <v>0.06</v>
      </c>
    </row>
    <row r="214" spans="1:9" x14ac:dyDescent="0.25">
      <c r="A214" s="1">
        <v>5</v>
      </c>
      <c r="B214" s="1" t="s">
        <v>94</v>
      </c>
      <c r="C214" s="1" t="s">
        <v>444</v>
      </c>
      <c r="D214" s="1" t="s">
        <v>445</v>
      </c>
      <c r="E214" s="1" t="s">
        <v>41</v>
      </c>
      <c r="F214" s="1">
        <v>6141100300</v>
      </c>
      <c r="G214" s="1" t="s">
        <v>349</v>
      </c>
      <c r="H214" t="str">
        <f>VLOOKUP(F214,Blad3!$1:$1048576,3,FALSE)</f>
        <v>61410000</v>
      </c>
      <c r="I214" s="13">
        <v>0.21</v>
      </c>
    </row>
    <row r="215" spans="1:9" x14ac:dyDescent="0.25">
      <c r="A215" s="1">
        <v>5</v>
      </c>
      <c r="B215" s="1" t="s">
        <v>94</v>
      </c>
      <c r="C215" s="1" t="s">
        <v>444</v>
      </c>
      <c r="D215" s="1" t="s">
        <v>447</v>
      </c>
      <c r="E215" s="1" t="s">
        <v>41</v>
      </c>
      <c r="F215" s="1">
        <v>6141100300</v>
      </c>
      <c r="G215" s="1" t="s">
        <v>349</v>
      </c>
      <c r="H215" t="str">
        <f>VLOOKUP(F215,Blad3!$1:$1048576,3,FALSE)</f>
        <v>61410000</v>
      </c>
      <c r="I215" s="13">
        <v>0.21</v>
      </c>
    </row>
    <row r="216" spans="1:9" x14ac:dyDescent="0.25">
      <c r="A216" s="1">
        <v>5</v>
      </c>
      <c r="B216" s="1" t="s">
        <v>94</v>
      </c>
      <c r="C216" s="1" t="s">
        <v>444</v>
      </c>
      <c r="D216" s="1" t="s">
        <v>449</v>
      </c>
      <c r="E216" s="1" t="s">
        <v>41</v>
      </c>
      <c r="F216" s="1">
        <v>6141100300</v>
      </c>
      <c r="G216" s="1" t="s">
        <v>349</v>
      </c>
      <c r="H216" t="str">
        <f>VLOOKUP(F216,Blad3!$1:$1048576,3,FALSE)</f>
        <v>61410000</v>
      </c>
      <c r="I216" s="13">
        <v>0.21</v>
      </c>
    </row>
    <row r="217" spans="1:9" x14ac:dyDescent="0.25">
      <c r="A217" s="1">
        <v>5</v>
      </c>
      <c r="B217" s="1" t="s">
        <v>94</v>
      </c>
      <c r="C217" s="1" t="s">
        <v>444</v>
      </c>
      <c r="D217" s="1" t="s">
        <v>450</v>
      </c>
      <c r="E217" s="1" t="s">
        <v>41</v>
      </c>
      <c r="F217" s="1">
        <v>6141100300</v>
      </c>
      <c r="G217" s="1" t="s">
        <v>349</v>
      </c>
      <c r="H217" t="str">
        <f>VLOOKUP(F217,Blad3!$1:$1048576,3,FALSE)</f>
        <v>61410000</v>
      </c>
      <c r="I217" s="13">
        <v>0.21</v>
      </c>
    </row>
    <row r="218" spans="1:9" x14ac:dyDescent="0.25">
      <c r="A218" s="1">
        <v>5</v>
      </c>
      <c r="B218" s="1" t="s">
        <v>94</v>
      </c>
      <c r="C218" s="1" t="s">
        <v>444</v>
      </c>
      <c r="D218" s="1" t="s">
        <v>452</v>
      </c>
      <c r="E218" s="1" t="s">
        <v>41</v>
      </c>
      <c r="F218" s="1">
        <v>6141100300</v>
      </c>
      <c r="G218" s="1" t="s">
        <v>349</v>
      </c>
      <c r="H218" t="str">
        <f>VLOOKUP(F218,Blad3!$1:$1048576,3,FALSE)</f>
        <v>61410000</v>
      </c>
      <c r="I218" s="13">
        <v>0.21</v>
      </c>
    </row>
    <row r="219" spans="1:9" x14ac:dyDescent="0.25">
      <c r="A219" s="1">
        <v>5</v>
      </c>
      <c r="B219" s="1" t="s">
        <v>94</v>
      </c>
      <c r="C219" s="1" t="s">
        <v>444</v>
      </c>
      <c r="D219" s="1" t="s">
        <v>453</v>
      </c>
      <c r="E219" s="1" t="s">
        <v>41</v>
      </c>
      <c r="F219" s="1">
        <v>6141100300</v>
      </c>
      <c r="G219" s="1" t="s">
        <v>349</v>
      </c>
      <c r="H219" t="str">
        <f>VLOOKUP(F219,Blad3!$1:$1048576,3,FALSE)</f>
        <v>61410000</v>
      </c>
      <c r="I219" s="13">
        <v>0.21</v>
      </c>
    </row>
    <row r="220" spans="1:9" x14ac:dyDescent="0.25">
      <c r="A220" s="1">
        <v>5</v>
      </c>
      <c r="B220" s="1" t="s">
        <v>94</v>
      </c>
      <c r="C220" s="1" t="s">
        <v>112</v>
      </c>
      <c r="D220" s="1" t="s">
        <v>454</v>
      </c>
      <c r="E220" s="1" t="s">
        <v>59</v>
      </c>
      <c r="F220" s="1">
        <v>2510000000</v>
      </c>
      <c r="G220" s="1" t="s">
        <v>455</v>
      </c>
      <c r="H220" t="str">
        <f>VLOOKUP(F220,Blad3!$1:$1048576,3,FALSE)</f>
        <v>25100000</v>
      </c>
      <c r="I220" s="13">
        <v>0</v>
      </c>
    </row>
    <row r="221" spans="1:9" x14ac:dyDescent="0.25">
      <c r="A221" s="1">
        <v>5</v>
      </c>
      <c r="B221" s="1" t="s">
        <v>94</v>
      </c>
      <c r="C221" s="1" t="s">
        <v>456</v>
      </c>
      <c r="D221" s="1" t="s">
        <v>457</v>
      </c>
      <c r="E221" s="1" t="s">
        <v>41</v>
      </c>
      <c r="F221" s="1">
        <v>6141100400</v>
      </c>
      <c r="G221" s="1" t="s">
        <v>417</v>
      </c>
      <c r="H221" t="str">
        <f>VLOOKUP(F221,Blad3!$1:$1048576,3,FALSE)</f>
        <v>61410000</v>
      </c>
      <c r="I221" s="13">
        <v>0.21</v>
      </c>
    </row>
    <row r="222" spans="1:9" x14ac:dyDescent="0.25">
      <c r="A222" s="1">
        <v>5</v>
      </c>
      <c r="B222" s="1" t="s">
        <v>94</v>
      </c>
      <c r="C222" s="1" t="s">
        <v>444</v>
      </c>
      <c r="D222" s="1" t="s">
        <v>458</v>
      </c>
      <c r="E222" s="1" t="s">
        <v>41</v>
      </c>
      <c r="F222" s="1">
        <v>6141100300</v>
      </c>
      <c r="G222" s="1" t="s">
        <v>349</v>
      </c>
      <c r="H222" t="str">
        <f>VLOOKUP(F222,Blad3!$1:$1048576,3,FALSE)</f>
        <v>61410000</v>
      </c>
      <c r="I222" s="13">
        <v>0.21</v>
      </c>
    </row>
    <row r="223" spans="1:9" x14ac:dyDescent="0.25">
      <c r="A223" s="1">
        <v>5</v>
      </c>
      <c r="B223" s="1" t="s">
        <v>94</v>
      </c>
      <c r="C223" s="1" t="s">
        <v>444</v>
      </c>
      <c r="D223" s="1" t="s">
        <v>459</v>
      </c>
      <c r="E223" s="1" t="s">
        <v>41</v>
      </c>
      <c r="F223" s="1">
        <v>6141100300</v>
      </c>
      <c r="G223" s="1" t="s">
        <v>349</v>
      </c>
      <c r="H223" t="str">
        <f>VLOOKUP(F223,Blad3!$1:$1048576,3,FALSE)</f>
        <v>61410000</v>
      </c>
      <c r="I223" s="13">
        <v>0.21</v>
      </c>
    </row>
    <row r="224" spans="1:9" x14ac:dyDescent="0.25">
      <c r="A224" s="1">
        <v>5</v>
      </c>
      <c r="B224" s="1" t="s">
        <v>94</v>
      </c>
      <c r="C224" s="1" t="s">
        <v>444</v>
      </c>
      <c r="D224" s="1" t="s">
        <v>460</v>
      </c>
      <c r="E224" s="1" t="s">
        <v>41</v>
      </c>
      <c r="F224" s="1">
        <v>6141100300</v>
      </c>
      <c r="G224" s="1" t="s">
        <v>349</v>
      </c>
      <c r="H224" t="str">
        <f>VLOOKUP(F224,Blad3!$1:$1048576,3,FALSE)</f>
        <v>61410000</v>
      </c>
      <c r="I224" s="13">
        <v>0.21</v>
      </c>
    </row>
    <row r="225" spans="1:9" x14ac:dyDescent="0.25">
      <c r="A225" s="1">
        <v>5</v>
      </c>
      <c r="B225" s="1" t="s">
        <v>94</v>
      </c>
      <c r="C225" s="1" t="s">
        <v>444</v>
      </c>
      <c r="D225" s="1" t="s">
        <v>461</v>
      </c>
      <c r="E225" s="1" t="s">
        <v>41</v>
      </c>
      <c r="F225" s="1">
        <v>6141100300</v>
      </c>
      <c r="G225" s="1" t="s">
        <v>349</v>
      </c>
      <c r="H225" t="str">
        <f>VLOOKUP(F225,Blad3!$1:$1048576,3,FALSE)</f>
        <v>61410000</v>
      </c>
      <c r="I225" s="13">
        <v>0.21</v>
      </c>
    </row>
    <row r="226" spans="1:9" x14ac:dyDescent="0.25">
      <c r="A226" s="1">
        <v>6</v>
      </c>
      <c r="B226" s="1" t="s">
        <v>82</v>
      </c>
      <c r="C226" s="1" t="s">
        <v>83</v>
      </c>
      <c r="D226" s="1" t="s">
        <v>84</v>
      </c>
      <c r="E226" s="1" t="s">
        <v>41</v>
      </c>
      <c r="F226" s="1">
        <v>6141100100</v>
      </c>
      <c r="G226" s="1" t="s">
        <v>66</v>
      </c>
      <c r="H226" t="str">
        <f>VLOOKUP(F226,Blad3!$1:$1048576,3,FALSE)</f>
        <v>61411000</v>
      </c>
      <c r="I226" s="13">
        <v>0.21</v>
      </c>
    </row>
    <row r="227" spans="1:9" x14ac:dyDescent="0.25">
      <c r="A227" s="21">
        <v>6</v>
      </c>
      <c r="B227" s="21" t="s">
        <v>82</v>
      </c>
      <c r="C227" s="21" t="s">
        <v>83</v>
      </c>
      <c r="D227" s="21" t="s">
        <v>84</v>
      </c>
      <c r="E227" s="21" t="s">
        <v>59</v>
      </c>
      <c r="F227" s="21">
        <v>2301000000</v>
      </c>
      <c r="G227" s="21" t="s">
        <v>76</v>
      </c>
      <c r="H227" t="str">
        <f>VLOOKUP(F227,Blad3!$1:$1048576,3,FALSE)</f>
        <v>23010000</v>
      </c>
      <c r="I227" s="26">
        <v>0.21</v>
      </c>
    </row>
    <row r="228" spans="1:9" x14ac:dyDescent="0.25">
      <c r="A228" s="1">
        <v>6</v>
      </c>
      <c r="B228" s="1" t="s">
        <v>82</v>
      </c>
      <c r="C228" s="1" t="s">
        <v>191</v>
      </c>
      <c r="D228" s="1" t="s">
        <v>192</v>
      </c>
      <c r="E228" s="1" t="s">
        <v>41</v>
      </c>
      <c r="F228" s="1">
        <v>6103000600</v>
      </c>
      <c r="G228" s="1" t="s">
        <v>139</v>
      </c>
      <c r="H228" t="str">
        <f>VLOOKUP(F228,Blad3!$1:$1048576,3,FALSE)</f>
        <v>61030006</v>
      </c>
      <c r="I228" s="13">
        <v>0.21</v>
      </c>
    </row>
    <row r="229" spans="1:9" x14ac:dyDescent="0.25">
      <c r="A229" s="21">
        <v>6</v>
      </c>
      <c r="B229" s="21" t="s">
        <v>82</v>
      </c>
      <c r="C229" s="21" t="s">
        <v>191</v>
      </c>
      <c r="D229" s="21" t="s">
        <v>192</v>
      </c>
      <c r="E229" s="21" t="s">
        <v>59</v>
      </c>
      <c r="F229" s="21">
        <v>2301000000</v>
      </c>
      <c r="G229" s="21" t="s">
        <v>76</v>
      </c>
      <c r="H229" t="str">
        <f>VLOOKUP(F229,Blad3!$1:$1048576,3,FALSE)</f>
        <v>23010000</v>
      </c>
      <c r="I229" s="26">
        <v>0.21</v>
      </c>
    </row>
    <row r="230" spans="1:9" x14ac:dyDescent="0.25">
      <c r="A230" s="21">
        <v>6</v>
      </c>
      <c r="B230" s="21" t="s">
        <v>82</v>
      </c>
      <c r="C230" s="21" t="s">
        <v>191</v>
      </c>
      <c r="D230" s="21" t="s">
        <v>192</v>
      </c>
      <c r="E230" s="21" t="s">
        <v>41</v>
      </c>
      <c r="F230" s="21">
        <v>6103000600</v>
      </c>
      <c r="G230" s="21" t="s">
        <v>139</v>
      </c>
      <c r="H230" t="str">
        <f>VLOOKUP(F230,Blad3!$1:$1048576,3,FALSE)</f>
        <v>61030006</v>
      </c>
      <c r="I230" s="26">
        <v>0.06</v>
      </c>
    </row>
    <row r="231" spans="1:9" x14ac:dyDescent="0.25">
      <c r="A231" s="21">
        <v>6</v>
      </c>
      <c r="B231" s="21" t="s">
        <v>82</v>
      </c>
      <c r="C231" s="21" t="s">
        <v>191</v>
      </c>
      <c r="D231" s="21" t="s">
        <v>192</v>
      </c>
      <c r="E231" s="21" t="s">
        <v>59</v>
      </c>
      <c r="F231" s="21">
        <v>2301000000</v>
      </c>
      <c r="G231" s="21" t="s">
        <v>76</v>
      </c>
      <c r="H231" t="str">
        <f>VLOOKUP(F231,Blad3!$1:$1048576,3,FALSE)</f>
        <v>23010000</v>
      </c>
      <c r="I231" s="26">
        <v>0.06</v>
      </c>
    </row>
    <row r="232" spans="1:9" x14ac:dyDescent="0.25">
      <c r="A232" s="1">
        <v>6</v>
      </c>
      <c r="B232" s="1" t="s">
        <v>82</v>
      </c>
      <c r="C232" s="1" t="s">
        <v>191</v>
      </c>
      <c r="D232" s="1" t="s">
        <v>191</v>
      </c>
      <c r="E232" s="1" t="s">
        <v>41</v>
      </c>
      <c r="F232" s="11">
        <v>6103000600</v>
      </c>
      <c r="G232" s="1" t="s">
        <v>139</v>
      </c>
      <c r="H232" t="str">
        <f>VLOOKUP(F232,Blad3!$1:$1048576,3,FALSE)</f>
        <v>61030006</v>
      </c>
      <c r="I232" s="13">
        <v>0.21</v>
      </c>
    </row>
    <row r="233" spans="1:9" x14ac:dyDescent="0.25">
      <c r="A233" s="1">
        <v>6</v>
      </c>
      <c r="B233" s="1" t="s">
        <v>82</v>
      </c>
      <c r="C233" s="1" t="s">
        <v>191</v>
      </c>
      <c r="D233" s="1" t="s">
        <v>191</v>
      </c>
      <c r="E233" s="1" t="s">
        <v>59</v>
      </c>
      <c r="F233" s="1">
        <v>2302000000</v>
      </c>
      <c r="G233" s="1" t="s">
        <v>125</v>
      </c>
      <c r="H233" t="str">
        <f>VLOOKUP(F233,Blad3!$1:$1048576,3,FALSE)</f>
        <v>23020000</v>
      </c>
      <c r="I233" s="13">
        <v>0.21</v>
      </c>
    </row>
    <row r="234" spans="1:9" x14ac:dyDescent="0.25">
      <c r="A234" s="1">
        <v>6</v>
      </c>
      <c r="B234" s="1" t="s">
        <v>82</v>
      </c>
      <c r="C234" s="1" t="s">
        <v>191</v>
      </c>
      <c r="D234" s="1" t="s">
        <v>191</v>
      </c>
      <c r="E234" s="1" t="s">
        <v>41</v>
      </c>
      <c r="F234" s="11">
        <v>6103000600</v>
      </c>
      <c r="G234" s="1" t="s">
        <v>139</v>
      </c>
      <c r="H234" t="str">
        <f>VLOOKUP(F234,Blad3!$1:$1048576,3,FALSE)</f>
        <v>61030006</v>
      </c>
      <c r="I234" s="13">
        <v>0.06</v>
      </c>
    </row>
    <row r="235" spans="1:9" x14ac:dyDescent="0.25">
      <c r="A235" s="1">
        <v>6</v>
      </c>
      <c r="B235" s="1" t="s">
        <v>82</v>
      </c>
      <c r="C235" s="1" t="s">
        <v>191</v>
      </c>
      <c r="D235" s="1" t="s">
        <v>191</v>
      </c>
      <c r="E235" s="1" t="s">
        <v>59</v>
      </c>
      <c r="F235" s="1">
        <v>2302000000</v>
      </c>
      <c r="G235" s="1" t="s">
        <v>125</v>
      </c>
      <c r="H235" t="str">
        <f>VLOOKUP(F235,Blad3!$1:$1048576,3,FALSE)</f>
        <v>23020000</v>
      </c>
      <c r="I235" s="13">
        <v>0.06</v>
      </c>
    </row>
    <row r="236" spans="1:9" x14ac:dyDescent="0.25">
      <c r="A236" s="41">
        <v>6</v>
      </c>
      <c r="B236" s="41" t="s">
        <v>82</v>
      </c>
      <c r="C236" s="41" t="s">
        <v>83</v>
      </c>
      <c r="D236" s="41" t="s">
        <v>217</v>
      </c>
      <c r="E236" s="41" t="s">
        <v>41</v>
      </c>
      <c r="F236" s="41">
        <v>6103000900</v>
      </c>
      <c r="G236" s="41" t="s">
        <v>131</v>
      </c>
      <c r="H236" t="str">
        <f>VLOOKUP(F236,Blad3!$1:$1048576,3,FALSE)</f>
        <v>61030000</v>
      </c>
      <c r="I236" s="51">
        <v>0.06</v>
      </c>
    </row>
    <row r="237" spans="1:9" x14ac:dyDescent="0.25">
      <c r="A237" s="41">
        <v>6</v>
      </c>
      <c r="B237" s="41" t="s">
        <v>82</v>
      </c>
      <c r="C237" s="41" t="s">
        <v>83</v>
      </c>
      <c r="D237" s="41" t="s">
        <v>217</v>
      </c>
      <c r="E237" s="41" t="s">
        <v>59</v>
      </c>
      <c r="F237" s="39">
        <v>2231000000</v>
      </c>
      <c r="G237" s="39" t="s">
        <v>61</v>
      </c>
      <c r="H237" t="str">
        <f>VLOOKUP(F237,Blad3!$1:$1048576,3,FALSE)</f>
        <v>22310000</v>
      </c>
      <c r="I237" s="51">
        <v>0.06</v>
      </c>
    </row>
    <row r="238" spans="1:9" x14ac:dyDescent="0.25">
      <c r="A238" s="1">
        <v>6</v>
      </c>
      <c r="B238" s="1" t="s">
        <v>82</v>
      </c>
      <c r="C238" s="1" t="s">
        <v>83</v>
      </c>
      <c r="D238" s="1" t="s">
        <v>218</v>
      </c>
      <c r="E238" s="1" t="s">
        <v>41</v>
      </c>
      <c r="F238" s="1">
        <v>6103000900</v>
      </c>
      <c r="G238" s="1" t="s">
        <v>131</v>
      </c>
      <c r="H238" t="str">
        <f>VLOOKUP(F238,Blad3!$1:$1048576,3,FALSE)</f>
        <v>61030000</v>
      </c>
      <c r="I238" s="13">
        <v>0.06</v>
      </c>
    </row>
    <row r="239" spans="1:9" x14ac:dyDescent="0.25">
      <c r="A239" s="1">
        <v>6</v>
      </c>
      <c r="B239" s="1" t="s">
        <v>82</v>
      </c>
      <c r="C239" s="1" t="s">
        <v>83</v>
      </c>
      <c r="D239" s="1" t="s">
        <v>218</v>
      </c>
      <c r="E239" s="1" t="s">
        <v>59</v>
      </c>
      <c r="F239" s="1">
        <v>2302000000</v>
      </c>
      <c r="G239" s="1" t="s">
        <v>125</v>
      </c>
      <c r="H239" t="str">
        <f>VLOOKUP(F239,Blad3!$1:$1048576,3,FALSE)</f>
        <v>23020000</v>
      </c>
      <c r="I239" s="13">
        <v>0.06</v>
      </c>
    </row>
    <row r="240" spans="1:9" x14ac:dyDescent="0.25">
      <c r="A240" s="39">
        <v>6</v>
      </c>
      <c r="B240" s="39" t="s">
        <v>82</v>
      </c>
      <c r="C240" s="39" t="s">
        <v>83</v>
      </c>
      <c r="D240" s="39" t="s">
        <v>218</v>
      </c>
      <c r="E240" s="39" t="s">
        <v>41</v>
      </c>
      <c r="F240" s="39">
        <v>6103000900</v>
      </c>
      <c r="G240" s="39" t="s">
        <v>131</v>
      </c>
      <c r="H240" t="str">
        <f>VLOOKUP(F240,Blad3!$1:$1048576,3,FALSE)</f>
        <v>61030000</v>
      </c>
      <c r="I240" s="70">
        <v>0.21</v>
      </c>
    </row>
    <row r="241" spans="1:9" x14ac:dyDescent="0.25">
      <c r="A241" s="39">
        <v>6</v>
      </c>
      <c r="B241" s="39" t="s">
        <v>82</v>
      </c>
      <c r="C241" s="39" t="s">
        <v>83</v>
      </c>
      <c r="D241" s="39" t="s">
        <v>218</v>
      </c>
      <c r="E241" s="39" t="s">
        <v>59</v>
      </c>
      <c r="F241" s="39">
        <v>2302000000</v>
      </c>
      <c r="G241" s="39" t="s">
        <v>125</v>
      </c>
      <c r="H241" t="str">
        <f>VLOOKUP(F241,Blad3!$1:$1048576,3,FALSE)</f>
        <v>23020000</v>
      </c>
      <c r="I241" s="70">
        <v>0.21</v>
      </c>
    </row>
    <row r="242" spans="1:9" x14ac:dyDescent="0.25">
      <c r="A242" s="1">
        <v>6</v>
      </c>
      <c r="B242" s="1" t="s">
        <v>82</v>
      </c>
      <c r="C242" s="1" t="s">
        <v>463</v>
      </c>
      <c r="D242" s="1" t="s">
        <v>464</v>
      </c>
      <c r="E242" s="1" t="s">
        <v>41</v>
      </c>
      <c r="F242" s="1">
        <v>6112000000</v>
      </c>
      <c r="G242" s="1" t="s">
        <v>463</v>
      </c>
      <c r="H242" t="str">
        <f>VLOOKUP(F242,Blad3!$1:$1048576,3,FALSE)</f>
        <v>61120000</v>
      </c>
      <c r="I242" s="13">
        <v>0.21</v>
      </c>
    </row>
    <row r="243" spans="1:9" x14ac:dyDescent="0.25">
      <c r="A243" s="1">
        <v>6</v>
      </c>
      <c r="B243" s="1" t="s">
        <v>82</v>
      </c>
      <c r="C243" s="1" t="s">
        <v>83</v>
      </c>
      <c r="D243" s="1" t="s">
        <v>465</v>
      </c>
      <c r="E243" s="1" t="s">
        <v>59</v>
      </c>
      <c r="F243" s="1">
        <v>2301000000</v>
      </c>
      <c r="G243" s="1" t="s">
        <v>76</v>
      </c>
      <c r="H243" t="str">
        <f>VLOOKUP(F243,Blad3!$1:$1048576,3,FALSE)</f>
        <v>23010000</v>
      </c>
      <c r="I243" s="13">
        <v>0.21</v>
      </c>
    </row>
    <row r="244" spans="1:9" x14ac:dyDescent="0.25">
      <c r="A244" s="1">
        <v>6</v>
      </c>
      <c r="B244" s="1" t="s">
        <v>82</v>
      </c>
      <c r="C244" s="1" t="s">
        <v>191</v>
      </c>
      <c r="D244" s="1" t="s">
        <v>466</v>
      </c>
      <c r="E244" s="1" t="s">
        <v>41</v>
      </c>
      <c r="F244" s="1">
        <v>6103000600</v>
      </c>
      <c r="G244" s="1" t="s">
        <v>139</v>
      </c>
      <c r="H244" t="str">
        <f>VLOOKUP(F244,Blad3!$1:$1048576,3,FALSE)</f>
        <v>61030006</v>
      </c>
      <c r="I244" s="13">
        <v>0.21</v>
      </c>
    </row>
    <row r="245" spans="1:9" x14ac:dyDescent="0.25">
      <c r="A245" s="21">
        <v>6</v>
      </c>
      <c r="B245" s="21" t="s">
        <v>82</v>
      </c>
      <c r="C245" s="21" t="s">
        <v>191</v>
      </c>
      <c r="D245" s="21" t="s">
        <v>466</v>
      </c>
      <c r="E245" s="21" t="s">
        <v>41</v>
      </c>
      <c r="F245" s="21">
        <v>6103000600</v>
      </c>
      <c r="G245" s="21" t="s">
        <v>139</v>
      </c>
      <c r="H245" t="str">
        <f>VLOOKUP(F245,Blad3!$1:$1048576,3,FALSE)</f>
        <v>61030006</v>
      </c>
      <c r="I245" s="35">
        <v>0.06</v>
      </c>
    </row>
    <row r="246" spans="1:9" x14ac:dyDescent="0.25">
      <c r="A246" s="1">
        <v>6</v>
      </c>
      <c r="B246" s="1" t="s">
        <v>82</v>
      </c>
      <c r="C246" s="1" t="s">
        <v>467</v>
      </c>
      <c r="D246" s="1" t="s">
        <v>468</v>
      </c>
      <c r="E246" s="1" t="s">
        <v>41</v>
      </c>
      <c r="F246" s="1">
        <v>6144000200</v>
      </c>
      <c r="G246" s="1" t="s">
        <v>469</v>
      </c>
      <c r="H246" t="str">
        <f>VLOOKUP(F246,Blad3!$1:$1048576,3,FALSE)</f>
        <v>61410000</v>
      </c>
      <c r="I246" s="13">
        <v>0.21</v>
      </c>
    </row>
    <row r="247" spans="1:9" x14ac:dyDescent="0.25">
      <c r="A247" s="1">
        <v>6</v>
      </c>
      <c r="B247" s="1" t="s">
        <v>82</v>
      </c>
      <c r="C247" s="1" t="s">
        <v>467</v>
      </c>
      <c r="D247" s="1" t="s">
        <v>470</v>
      </c>
      <c r="E247" s="1" t="s">
        <v>41</v>
      </c>
      <c r="F247" s="1">
        <v>6144000400</v>
      </c>
      <c r="G247" s="1" t="s">
        <v>470</v>
      </c>
      <c r="H247" t="str">
        <f>VLOOKUP(F247,Blad3!$1:$1048576,3,FALSE)</f>
        <v>61410000</v>
      </c>
      <c r="I247" s="13">
        <v>0</v>
      </c>
    </row>
    <row r="248" spans="1:9" x14ac:dyDescent="0.25">
      <c r="A248" s="1">
        <v>6</v>
      </c>
      <c r="B248" s="1" t="s">
        <v>82</v>
      </c>
      <c r="C248" s="1" t="s">
        <v>191</v>
      </c>
      <c r="D248" s="1" t="s">
        <v>471</v>
      </c>
      <c r="E248" s="1" t="s">
        <v>41</v>
      </c>
      <c r="F248" s="1">
        <v>6103000600</v>
      </c>
      <c r="G248" s="1" t="s">
        <v>139</v>
      </c>
      <c r="H248" t="str">
        <f>VLOOKUP(F248,Blad3!$1:$1048576,3,FALSE)</f>
        <v>61030006</v>
      </c>
      <c r="I248" s="13">
        <v>0.21</v>
      </c>
    </row>
    <row r="249" spans="1:9" x14ac:dyDescent="0.25">
      <c r="A249" s="1">
        <v>6</v>
      </c>
      <c r="B249" s="1" t="s">
        <v>82</v>
      </c>
      <c r="C249" s="1" t="s">
        <v>467</v>
      </c>
      <c r="D249" s="1" t="s">
        <v>472</v>
      </c>
      <c r="E249" s="1" t="s">
        <v>41</v>
      </c>
      <c r="F249" s="1">
        <v>6144000200</v>
      </c>
      <c r="G249" s="1" t="s">
        <v>469</v>
      </c>
      <c r="H249" t="str">
        <f>VLOOKUP(F249,Blad3!$1:$1048576,3,FALSE)</f>
        <v>61410000</v>
      </c>
      <c r="I249" s="13">
        <v>0</v>
      </c>
    </row>
    <row r="250" spans="1:9" x14ac:dyDescent="0.25">
      <c r="A250" s="1">
        <v>6</v>
      </c>
      <c r="B250" s="1" t="s">
        <v>82</v>
      </c>
      <c r="C250" s="1" t="s">
        <v>467</v>
      </c>
      <c r="D250" s="1" t="s">
        <v>473</v>
      </c>
      <c r="E250" s="1" t="s">
        <v>41</v>
      </c>
      <c r="F250" s="1">
        <v>6144000200</v>
      </c>
      <c r="G250" s="1" t="s">
        <v>469</v>
      </c>
      <c r="H250" t="str">
        <f>VLOOKUP(F250,Blad3!$1:$1048576,3,FALSE)</f>
        <v>61410000</v>
      </c>
      <c r="I250" s="13">
        <v>0.21</v>
      </c>
    </row>
    <row r="251" spans="1:9" x14ac:dyDescent="0.25">
      <c r="A251" s="1">
        <v>6</v>
      </c>
      <c r="B251" s="1" t="s">
        <v>82</v>
      </c>
      <c r="C251" s="1" t="s">
        <v>467</v>
      </c>
      <c r="D251" s="1" t="s">
        <v>474</v>
      </c>
      <c r="E251" s="1" t="s">
        <v>41</v>
      </c>
      <c r="F251" s="1">
        <v>6144000200</v>
      </c>
      <c r="G251" s="1" t="s">
        <v>469</v>
      </c>
      <c r="H251" t="str">
        <f>VLOOKUP(F251,Blad3!$1:$1048576,3,FALSE)</f>
        <v>61410000</v>
      </c>
      <c r="I251" s="13">
        <v>0</v>
      </c>
    </row>
    <row r="252" spans="1:9" x14ac:dyDescent="0.25">
      <c r="A252" s="1">
        <v>6</v>
      </c>
      <c r="B252" s="1" t="s">
        <v>82</v>
      </c>
      <c r="C252" s="1" t="s">
        <v>475</v>
      </c>
      <c r="D252" s="1" t="s">
        <v>475</v>
      </c>
      <c r="E252" s="1" t="s">
        <v>41</v>
      </c>
      <c r="F252" s="1">
        <v>6100000100</v>
      </c>
      <c r="G252" s="1" t="s">
        <v>415</v>
      </c>
      <c r="H252" t="str">
        <f>VLOOKUP(F252,Blad3!$1:$1048576,3,FALSE)</f>
        <v>61000000</v>
      </c>
      <c r="I252" s="13">
        <v>0.21</v>
      </c>
    </row>
    <row r="253" spans="1:9" x14ac:dyDescent="0.25">
      <c r="A253" s="1">
        <v>6</v>
      </c>
      <c r="B253" s="1" t="s">
        <v>82</v>
      </c>
      <c r="C253" s="1" t="s">
        <v>475</v>
      </c>
      <c r="D253" s="1" t="s">
        <v>476</v>
      </c>
      <c r="E253" s="1" t="s">
        <v>41</v>
      </c>
      <c r="F253" s="1">
        <v>6100000100</v>
      </c>
      <c r="G253" s="1" t="s">
        <v>415</v>
      </c>
      <c r="H253" t="str">
        <f>VLOOKUP(F253,Blad3!$1:$1048576,3,FALSE)</f>
        <v>61000000</v>
      </c>
      <c r="I253" s="13">
        <v>0</v>
      </c>
    </row>
    <row r="254" spans="1:9" x14ac:dyDescent="0.25">
      <c r="A254" s="1">
        <v>6</v>
      </c>
      <c r="B254" s="1" t="s">
        <v>82</v>
      </c>
      <c r="C254" s="1" t="s">
        <v>477</v>
      </c>
      <c r="D254" s="1" t="s">
        <v>478</v>
      </c>
      <c r="E254" s="1" t="s">
        <v>41</v>
      </c>
      <c r="F254" s="1">
        <v>6103000500</v>
      </c>
      <c r="G254" s="1" t="s">
        <v>479</v>
      </c>
      <c r="H254" t="str">
        <f>VLOOKUP(F254,Blad3!$1:$1048576,3,FALSE)</f>
        <v>61030005</v>
      </c>
      <c r="I254" s="13">
        <v>0.21</v>
      </c>
    </row>
    <row r="255" spans="1:9" x14ac:dyDescent="0.25">
      <c r="A255" s="1">
        <v>7</v>
      </c>
      <c r="B255" s="1" t="s">
        <v>68</v>
      </c>
      <c r="C255" s="1" t="s">
        <v>69</v>
      </c>
      <c r="D255" s="1" t="s">
        <v>70</v>
      </c>
      <c r="E255" s="1" t="s">
        <v>41</v>
      </c>
      <c r="F255" s="18">
        <v>6142000100</v>
      </c>
      <c r="G255" s="1" t="s">
        <v>71</v>
      </c>
      <c r="H255" t="str">
        <f>VLOOKUP(F255,Blad3!$1:$1048576,3,FALSE)</f>
        <v>61420100</v>
      </c>
      <c r="I255" s="13">
        <v>0.21</v>
      </c>
    </row>
    <row r="256" spans="1:9" x14ac:dyDescent="0.25">
      <c r="A256" s="1">
        <v>7</v>
      </c>
      <c r="B256" s="1" t="s">
        <v>68</v>
      </c>
      <c r="C256" s="1" t="s">
        <v>69</v>
      </c>
      <c r="D256" s="1" t="s">
        <v>70</v>
      </c>
      <c r="E256" s="1" t="s">
        <v>59</v>
      </c>
      <c r="F256" s="1">
        <v>2410000000</v>
      </c>
      <c r="G256" s="1" t="s">
        <v>72</v>
      </c>
      <c r="H256" t="str">
        <f>VLOOKUP(F256,Blad3!$1:$1048576,3,FALSE)</f>
        <v>24100000</v>
      </c>
      <c r="I256" s="13">
        <v>0.21</v>
      </c>
    </row>
    <row r="257" spans="1:9" x14ac:dyDescent="0.25">
      <c r="A257" s="1">
        <v>7</v>
      </c>
      <c r="B257" s="1" t="s">
        <v>68</v>
      </c>
      <c r="C257" s="1" t="s">
        <v>481</v>
      </c>
      <c r="D257" s="1" t="s">
        <v>481</v>
      </c>
      <c r="E257" s="1" t="s">
        <v>41</v>
      </c>
      <c r="F257" s="1">
        <v>6142100200</v>
      </c>
      <c r="G257" s="1" t="s">
        <v>482</v>
      </c>
      <c r="H257" t="str">
        <f>VLOOKUP(F257,Blad3!$1:$1048576,3,FALSE)</f>
        <v>61420002</v>
      </c>
      <c r="I257" s="13">
        <v>0.21</v>
      </c>
    </row>
    <row r="258" spans="1:9" x14ac:dyDescent="0.25">
      <c r="A258" s="1">
        <v>7</v>
      </c>
      <c r="B258" s="1" t="s">
        <v>68</v>
      </c>
      <c r="C258" s="1" t="s">
        <v>483</v>
      </c>
      <c r="D258" s="1" t="s">
        <v>484</v>
      </c>
      <c r="E258" s="1" t="s">
        <v>41</v>
      </c>
      <c r="F258" s="1">
        <v>6142000200</v>
      </c>
      <c r="G258" s="1" t="s">
        <v>485</v>
      </c>
      <c r="H258" t="str">
        <f>VLOOKUP(F258,Blad3!$1:$1048576,3,FALSE)</f>
        <v>61420200</v>
      </c>
      <c r="I258" s="13">
        <v>0.21</v>
      </c>
    </row>
    <row r="259" spans="1:9" x14ac:dyDescent="0.25">
      <c r="A259" s="1">
        <v>7</v>
      </c>
      <c r="B259" s="1" t="s">
        <v>68</v>
      </c>
      <c r="C259" s="1" t="s">
        <v>488</v>
      </c>
      <c r="D259" s="1" t="s">
        <v>490</v>
      </c>
      <c r="E259" s="1" t="s">
        <v>487</v>
      </c>
      <c r="F259" s="1">
        <v>6152000800</v>
      </c>
      <c r="G259" s="1" t="s">
        <v>491</v>
      </c>
      <c r="H259" t="str">
        <f>VLOOKUP(F259,Blad3!$1:$1048576,3,FALSE)</f>
        <v>61580000</v>
      </c>
      <c r="I259" s="13">
        <v>0.06</v>
      </c>
    </row>
    <row r="260" spans="1:9" x14ac:dyDescent="0.25">
      <c r="A260" s="1">
        <v>7</v>
      </c>
      <c r="B260" s="1" t="s">
        <v>68</v>
      </c>
      <c r="C260" s="1" t="s">
        <v>488</v>
      </c>
      <c r="D260" s="1" t="s">
        <v>493</v>
      </c>
      <c r="E260" s="1" t="s">
        <v>487</v>
      </c>
      <c r="F260" s="1">
        <v>6152000800</v>
      </c>
      <c r="G260" s="1" t="s">
        <v>491</v>
      </c>
      <c r="H260" t="str">
        <f>VLOOKUP(F260,Blad3!$1:$1048576,3,FALSE)</f>
        <v>61580000</v>
      </c>
      <c r="I260" s="13">
        <v>0</v>
      </c>
    </row>
    <row r="261" spans="1:9" x14ac:dyDescent="0.25">
      <c r="A261" s="1">
        <v>7</v>
      </c>
      <c r="B261" s="1" t="s">
        <v>68</v>
      </c>
      <c r="C261" s="1" t="s">
        <v>495</v>
      </c>
      <c r="D261" s="1" t="s">
        <v>495</v>
      </c>
      <c r="E261" s="1" t="s">
        <v>41</v>
      </c>
      <c r="F261" s="1">
        <v>6142100400</v>
      </c>
      <c r="G261" s="1" t="s">
        <v>496</v>
      </c>
      <c r="H261" t="str">
        <f>VLOOKUP(F261,Blad3!$1:$1048576,3,FALSE)</f>
        <v>61420004</v>
      </c>
      <c r="I261" s="13">
        <v>0.21</v>
      </c>
    </row>
    <row r="262" spans="1:9" x14ac:dyDescent="0.25">
      <c r="A262" s="1">
        <v>7</v>
      </c>
      <c r="B262" s="1" t="s">
        <v>68</v>
      </c>
      <c r="C262" s="1" t="s">
        <v>498</v>
      </c>
      <c r="D262" s="1" t="s">
        <v>498</v>
      </c>
      <c r="E262" s="1" t="s">
        <v>41</v>
      </c>
      <c r="F262" s="1">
        <v>6142100300</v>
      </c>
      <c r="G262" s="1" t="s">
        <v>499</v>
      </c>
      <c r="H262" t="str">
        <f>VLOOKUP(F262,Blad3!$1:$1048576,3,FALSE)</f>
        <v>61420003</v>
      </c>
      <c r="I262" s="13">
        <v>0.21</v>
      </c>
    </row>
    <row r="263" spans="1:9" x14ac:dyDescent="0.25">
      <c r="A263" s="1">
        <v>7</v>
      </c>
      <c r="B263" s="1" t="s">
        <v>68</v>
      </c>
      <c r="C263" s="1" t="s">
        <v>500</v>
      </c>
      <c r="D263" s="1" t="s">
        <v>500</v>
      </c>
      <c r="E263" s="1" t="s">
        <v>41</v>
      </c>
      <c r="F263" s="1">
        <v>6147000100</v>
      </c>
      <c r="G263" s="1" t="s">
        <v>501</v>
      </c>
      <c r="H263" t="str">
        <f>VLOOKUP(F263,Blad3!$1:$1048576,3,FALSE)</f>
        <v>61410000</v>
      </c>
      <c r="I263" s="13">
        <v>0.21</v>
      </c>
    </row>
    <row r="264" spans="1:9" x14ac:dyDescent="0.25">
      <c r="A264" s="21">
        <v>7</v>
      </c>
      <c r="B264" s="21" t="s">
        <v>68</v>
      </c>
      <c r="C264" s="21" t="s">
        <v>500</v>
      </c>
      <c r="D264" s="21" t="s">
        <v>500</v>
      </c>
      <c r="E264" s="21" t="s">
        <v>41</v>
      </c>
      <c r="F264" s="21">
        <v>6147000100</v>
      </c>
      <c r="G264" s="21" t="s">
        <v>501</v>
      </c>
      <c r="H264" t="str">
        <f>VLOOKUP(F264,Blad3!$1:$1048576,3,FALSE)</f>
        <v>61410000</v>
      </c>
      <c r="I264" s="35">
        <v>0.06</v>
      </c>
    </row>
    <row r="265" spans="1:9" x14ac:dyDescent="0.25">
      <c r="A265" s="1">
        <v>7</v>
      </c>
      <c r="B265" s="1" t="s">
        <v>68</v>
      </c>
      <c r="C265" s="1" t="s">
        <v>488</v>
      </c>
      <c r="D265" s="1" t="s">
        <v>504</v>
      </c>
      <c r="E265" s="1" t="s">
        <v>170</v>
      </c>
      <c r="F265" s="1">
        <v>6161000100</v>
      </c>
      <c r="G265" s="1" t="s">
        <v>246</v>
      </c>
      <c r="H265" t="str">
        <f>VLOOKUP(F265,Blad3!$1:$1048576,3,FALSE)</f>
        <v>61611000</v>
      </c>
      <c r="I265" s="13">
        <v>0.06</v>
      </c>
    </row>
    <row r="266" spans="1:9" x14ac:dyDescent="0.25">
      <c r="A266" s="1">
        <v>7</v>
      </c>
      <c r="B266" s="1" t="s">
        <v>68</v>
      </c>
      <c r="C266" s="1" t="s">
        <v>488</v>
      </c>
      <c r="D266" s="1" t="s">
        <v>507</v>
      </c>
      <c r="E266" s="1" t="s">
        <v>170</v>
      </c>
      <c r="F266" s="1">
        <v>6161000100</v>
      </c>
      <c r="G266" s="1" t="s">
        <v>246</v>
      </c>
      <c r="H266" t="str">
        <f>VLOOKUP(F266,Blad3!$1:$1048576,3,FALSE)</f>
        <v>61611000</v>
      </c>
      <c r="I266" s="13">
        <v>0.06</v>
      </c>
    </row>
    <row r="267" spans="1:9" x14ac:dyDescent="0.25">
      <c r="A267" s="1">
        <v>7</v>
      </c>
      <c r="B267" s="1" t="s">
        <v>68</v>
      </c>
      <c r="C267" s="1" t="s">
        <v>488</v>
      </c>
      <c r="D267" s="1" t="s">
        <v>509</v>
      </c>
      <c r="E267" s="1" t="s">
        <v>263</v>
      </c>
      <c r="F267" s="1">
        <v>6161000300</v>
      </c>
      <c r="G267" s="1" t="s">
        <v>264</v>
      </c>
      <c r="H267" t="str">
        <f>VLOOKUP(F267,Blad3!$1:$1048576,3,FALSE)</f>
        <v>61613000</v>
      </c>
      <c r="I267" s="13">
        <v>0.06</v>
      </c>
    </row>
    <row r="268" spans="1:9" x14ac:dyDescent="0.25">
      <c r="A268" s="1">
        <v>7</v>
      </c>
      <c r="B268" s="1" t="s">
        <v>68</v>
      </c>
      <c r="C268" s="1" t="s">
        <v>488</v>
      </c>
      <c r="D268" s="1" t="s">
        <v>511</v>
      </c>
      <c r="E268" s="1" t="s">
        <v>263</v>
      </c>
      <c r="F268" s="1">
        <v>6161000300</v>
      </c>
      <c r="G268" s="1" t="s">
        <v>264</v>
      </c>
      <c r="H268" t="str">
        <f>VLOOKUP(F268,Blad3!$1:$1048576,3,FALSE)</f>
        <v>61613000</v>
      </c>
      <c r="I268" s="13">
        <v>0</v>
      </c>
    </row>
    <row r="269" spans="1:9" x14ac:dyDescent="0.25">
      <c r="A269" s="1">
        <v>7</v>
      </c>
      <c r="B269" s="1" t="s">
        <v>68</v>
      </c>
      <c r="C269" s="1" t="s">
        <v>488</v>
      </c>
      <c r="D269" s="1" t="s">
        <v>513</v>
      </c>
      <c r="E269" s="1" t="s">
        <v>46</v>
      </c>
      <c r="F269" s="1">
        <v>6146000400</v>
      </c>
      <c r="G269" s="1" t="s">
        <v>47</v>
      </c>
      <c r="H269" t="str">
        <f>VLOOKUP(F269,Blad3!$1:$1048576,3,FALSE)</f>
        <v>61460000</v>
      </c>
      <c r="I269" s="13">
        <v>0</v>
      </c>
    </row>
    <row r="270" spans="1:9" x14ac:dyDescent="0.25">
      <c r="A270" s="1">
        <v>7</v>
      </c>
      <c r="B270" s="1" t="s">
        <v>68</v>
      </c>
      <c r="C270" s="1" t="s">
        <v>488</v>
      </c>
      <c r="D270" s="1" t="s">
        <v>516</v>
      </c>
      <c r="E270" s="1" t="s">
        <v>514</v>
      </c>
      <c r="F270" s="1">
        <v>6130001400</v>
      </c>
      <c r="G270" s="1" t="s">
        <v>517</v>
      </c>
      <c r="H270" t="str">
        <f>VLOOKUP(F270,Blad3!$1:$1048576,3,FALSE)</f>
        <v>61314000</v>
      </c>
      <c r="I270" s="13">
        <v>0</v>
      </c>
    </row>
    <row r="271" spans="1:9" x14ac:dyDescent="0.25">
      <c r="A271" s="1">
        <v>7</v>
      </c>
      <c r="B271" s="1" t="s">
        <v>68</v>
      </c>
      <c r="C271" s="1" t="s">
        <v>518</v>
      </c>
      <c r="D271" s="1" t="s">
        <v>520</v>
      </c>
      <c r="E271" s="1" t="s">
        <v>167</v>
      </c>
      <c r="F271" s="1">
        <v>6152000100</v>
      </c>
      <c r="G271" s="1" t="s">
        <v>168</v>
      </c>
      <c r="H271" t="str">
        <f>VLOOKUP(F271,Blad3!$1:$1048576,3,FALSE)</f>
        <v>61520001</v>
      </c>
      <c r="I271" s="13">
        <v>0.06</v>
      </c>
    </row>
    <row r="272" spans="1:9" x14ac:dyDescent="0.25">
      <c r="A272" s="1">
        <v>7</v>
      </c>
      <c r="B272" s="1" t="s">
        <v>68</v>
      </c>
      <c r="C272" s="1" t="s">
        <v>518</v>
      </c>
      <c r="D272" s="1" t="s">
        <v>522</v>
      </c>
      <c r="E272" s="1" t="s">
        <v>167</v>
      </c>
      <c r="F272" s="1">
        <v>6152000100</v>
      </c>
      <c r="G272" s="1" t="s">
        <v>168</v>
      </c>
      <c r="H272" t="str">
        <f>VLOOKUP(F272,Blad3!$1:$1048576,3,FALSE)</f>
        <v>61520001</v>
      </c>
      <c r="I272" s="13">
        <v>0</v>
      </c>
    </row>
    <row r="273" spans="1:9" x14ac:dyDescent="0.25">
      <c r="A273" s="1">
        <v>7</v>
      </c>
      <c r="B273" s="1" t="s">
        <v>68</v>
      </c>
      <c r="C273" s="1" t="s">
        <v>518</v>
      </c>
      <c r="D273" s="1" t="s">
        <v>524</v>
      </c>
      <c r="E273" s="1" t="s">
        <v>167</v>
      </c>
      <c r="F273" s="1">
        <v>6152000100</v>
      </c>
      <c r="G273" s="1" t="s">
        <v>168</v>
      </c>
      <c r="H273" t="str">
        <f>VLOOKUP(F273,Blad3!$1:$1048576,3,FALSE)</f>
        <v>61520001</v>
      </c>
      <c r="I273" s="13">
        <v>0</v>
      </c>
    </row>
    <row r="274" spans="1:9" x14ac:dyDescent="0.25">
      <c r="A274" s="1">
        <v>7</v>
      </c>
      <c r="B274" s="1" t="s">
        <v>68</v>
      </c>
      <c r="C274" s="1" t="s">
        <v>518</v>
      </c>
      <c r="D274" s="1" t="s">
        <v>526</v>
      </c>
      <c r="E274" s="1" t="s">
        <v>163</v>
      </c>
      <c r="F274" s="1">
        <v>6152000200</v>
      </c>
      <c r="G274" s="1" t="s">
        <v>164</v>
      </c>
      <c r="H274" t="str">
        <f>VLOOKUP(F274,Blad3!$1:$1048576,3,FALSE)</f>
        <v>61520002</v>
      </c>
      <c r="I274" s="13">
        <v>0.06</v>
      </c>
    </row>
    <row r="275" spans="1:9" x14ac:dyDescent="0.25">
      <c r="A275" s="1">
        <v>7</v>
      </c>
      <c r="B275" s="1" t="s">
        <v>68</v>
      </c>
      <c r="C275" s="1" t="s">
        <v>518</v>
      </c>
      <c r="D275" s="1" t="s">
        <v>528</v>
      </c>
      <c r="E275" s="1" t="s">
        <v>163</v>
      </c>
      <c r="F275" s="1">
        <v>6152000200</v>
      </c>
      <c r="G275" s="1" t="s">
        <v>164</v>
      </c>
      <c r="H275" t="str">
        <f>VLOOKUP(F275,Blad3!$1:$1048576,3,FALSE)</f>
        <v>61520002</v>
      </c>
      <c r="I275" s="13">
        <v>0</v>
      </c>
    </row>
    <row r="276" spans="1:9" x14ac:dyDescent="0.25">
      <c r="A276" s="1">
        <v>7</v>
      </c>
      <c r="B276" s="1" t="s">
        <v>68</v>
      </c>
      <c r="C276" s="1" t="s">
        <v>518</v>
      </c>
      <c r="D276" s="1" t="s">
        <v>530</v>
      </c>
      <c r="E276" s="1" t="s">
        <v>163</v>
      </c>
      <c r="F276" s="1">
        <v>6152000200</v>
      </c>
      <c r="G276" s="1" t="s">
        <v>164</v>
      </c>
      <c r="H276" t="str">
        <f>VLOOKUP(F276,Blad3!$1:$1048576,3,FALSE)</f>
        <v>61520002</v>
      </c>
      <c r="I276" s="13">
        <v>0</v>
      </c>
    </row>
    <row r="277" spans="1:9" x14ac:dyDescent="0.25">
      <c r="A277" s="1">
        <v>8</v>
      </c>
      <c r="B277" s="1" t="s">
        <v>115</v>
      </c>
      <c r="C277" s="1" t="s">
        <v>116</v>
      </c>
      <c r="D277" s="1" t="s">
        <v>117</v>
      </c>
      <c r="E277" s="1" t="s">
        <v>41</v>
      </c>
      <c r="F277" s="1">
        <v>6152000600</v>
      </c>
      <c r="G277" s="1" t="s">
        <v>118</v>
      </c>
      <c r="H277" t="str">
        <f>VLOOKUP(F277,Blad3!$1:$1048576,3,FALSE)</f>
        <v>61560000</v>
      </c>
      <c r="I277" s="13">
        <v>0.21</v>
      </c>
    </row>
    <row r="278" spans="1:9" x14ac:dyDescent="0.25">
      <c r="A278" s="1">
        <v>8</v>
      </c>
      <c r="B278" s="1" t="s">
        <v>115</v>
      </c>
      <c r="C278" s="1" t="s">
        <v>116</v>
      </c>
      <c r="D278" s="1" t="s">
        <v>117</v>
      </c>
      <c r="E278" s="1" t="s">
        <v>108</v>
      </c>
      <c r="F278" s="1">
        <v>6030000200</v>
      </c>
      <c r="G278" s="1" t="s">
        <v>109</v>
      </c>
      <c r="H278" t="str">
        <f>VLOOKUP(F278,Blad3!$1:$1048576,3,FALSE)</f>
        <v>60320000</v>
      </c>
      <c r="I278" s="13">
        <v>0.21</v>
      </c>
    </row>
    <row r="279" spans="1:9" x14ac:dyDescent="0.25">
      <c r="A279" s="1">
        <v>8</v>
      </c>
      <c r="B279" s="1" t="s">
        <v>115</v>
      </c>
      <c r="C279" s="1" t="s">
        <v>116</v>
      </c>
      <c r="D279" s="1" t="s">
        <v>117</v>
      </c>
      <c r="E279" s="1" t="s">
        <v>119</v>
      </c>
      <c r="F279" s="1">
        <v>6030000100</v>
      </c>
      <c r="G279" s="1" t="s">
        <v>120</v>
      </c>
      <c r="H279" t="str">
        <f>VLOOKUP(F279,Blad3!$1:$1048576,3,FALSE)</f>
        <v>60310100</v>
      </c>
      <c r="I279" s="13">
        <v>0.21</v>
      </c>
    </row>
    <row r="280" spans="1:9" x14ac:dyDescent="0.25">
      <c r="A280" s="1">
        <v>8</v>
      </c>
      <c r="B280" s="1" t="s">
        <v>115</v>
      </c>
      <c r="C280" s="1" t="s">
        <v>116</v>
      </c>
      <c r="D280" s="1" t="s">
        <v>122</v>
      </c>
      <c r="E280" s="1" t="s">
        <v>41</v>
      </c>
      <c r="F280" s="1">
        <v>6152000600</v>
      </c>
      <c r="G280" s="1" t="s">
        <v>118</v>
      </c>
      <c r="H280" t="str">
        <f>VLOOKUP(F280,Blad3!$1:$1048576,3,FALSE)</f>
        <v>61560000</v>
      </c>
      <c r="I280" s="13">
        <v>0.21</v>
      </c>
    </row>
    <row r="281" spans="1:9" x14ac:dyDescent="0.25">
      <c r="A281" s="1">
        <v>8</v>
      </c>
      <c r="B281" s="1" t="s">
        <v>115</v>
      </c>
      <c r="C281" s="1" t="s">
        <v>116</v>
      </c>
      <c r="D281" s="1" t="s">
        <v>122</v>
      </c>
      <c r="E281" s="1" t="s">
        <v>108</v>
      </c>
      <c r="F281" s="1">
        <v>6030000200</v>
      </c>
      <c r="G281" s="1" t="s">
        <v>109</v>
      </c>
      <c r="H281" t="str">
        <f>VLOOKUP(F281,Blad3!$1:$1048576,3,FALSE)</f>
        <v>60320000</v>
      </c>
      <c r="I281" s="13">
        <v>0.21</v>
      </c>
    </row>
    <row r="282" spans="1:9" x14ac:dyDescent="0.25">
      <c r="A282" s="1">
        <v>8</v>
      </c>
      <c r="B282" s="1" t="s">
        <v>115</v>
      </c>
      <c r="C282" s="1" t="s">
        <v>116</v>
      </c>
      <c r="D282" s="1" t="s">
        <v>122</v>
      </c>
      <c r="E282" s="1" t="s">
        <v>119</v>
      </c>
      <c r="F282" s="1">
        <v>6030000100</v>
      </c>
      <c r="G282" s="1" t="s">
        <v>120</v>
      </c>
      <c r="H282" t="str">
        <f>VLOOKUP(F282,Blad3!$1:$1048576,3,FALSE)</f>
        <v>60310100</v>
      </c>
      <c r="I282" s="13">
        <v>0.21</v>
      </c>
    </row>
    <row r="283" spans="1:9" x14ac:dyDescent="0.25">
      <c r="A283" s="1">
        <v>8</v>
      </c>
      <c r="B283" s="1" t="s">
        <v>115</v>
      </c>
      <c r="C283" s="1"/>
      <c r="D283" s="1" t="s">
        <v>124</v>
      </c>
      <c r="E283" s="1" t="s">
        <v>41</v>
      </c>
      <c r="F283" s="1">
        <v>6152000600</v>
      </c>
      <c r="G283" s="1" t="s">
        <v>118</v>
      </c>
      <c r="H283" t="str">
        <f>VLOOKUP(F283,Blad3!$1:$1048576,3,FALSE)</f>
        <v>61560000</v>
      </c>
      <c r="I283" s="13">
        <v>0.21</v>
      </c>
    </row>
    <row r="284" spans="1:9" x14ac:dyDescent="0.25">
      <c r="A284" s="1">
        <v>8</v>
      </c>
      <c r="B284" s="1" t="s">
        <v>115</v>
      </c>
      <c r="C284" s="1"/>
      <c r="D284" s="1" t="s">
        <v>124</v>
      </c>
      <c r="E284" s="1" t="s">
        <v>59</v>
      </c>
      <c r="F284" s="1">
        <v>2302000000</v>
      </c>
      <c r="G284" s="1" t="s">
        <v>125</v>
      </c>
      <c r="H284" t="str">
        <f>VLOOKUP(F284,Blad3!$1:$1048576,3,FALSE)</f>
        <v>23020000</v>
      </c>
      <c r="I284" s="13">
        <v>0.21</v>
      </c>
    </row>
    <row r="285" spans="1:9" x14ac:dyDescent="0.25">
      <c r="A285" s="1">
        <v>8</v>
      </c>
      <c r="B285" s="1" t="s">
        <v>115</v>
      </c>
      <c r="C285" s="1"/>
      <c r="D285" s="1" t="s">
        <v>127</v>
      </c>
      <c r="E285" s="1" t="s">
        <v>41</v>
      </c>
      <c r="F285" s="1">
        <v>6152000600</v>
      </c>
      <c r="G285" s="1" t="s">
        <v>118</v>
      </c>
      <c r="H285" t="str">
        <f>VLOOKUP(F285,Blad3!$1:$1048576,3,FALSE)</f>
        <v>61560000</v>
      </c>
      <c r="I285" s="13">
        <v>0.21</v>
      </c>
    </row>
    <row r="286" spans="1:9" x14ac:dyDescent="0.25">
      <c r="A286" s="1">
        <v>8</v>
      </c>
      <c r="B286" s="1" t="s">
        <v>115</v>
      </c>
      <c r="C286" s="1"/>
      <c r="D286" s="1" t="s">
        <v>127</v>
      </c>
      <c r="E286" s="1" t="s">
        <v>59</v>
      </c>
      <c r="F286" s="1">
        <v>2302000000</v>
      </c>
      <c r="G286" s="1" t="s">
        <v>125</v>
      </c>
      <c r="H286" t="str">
        <f>VLOOKUP(F286,Blad3!$1:$1048576,3,FALSE)</f>
        <v>23020000</v>
      </c>
      <c r="I286" s="13">
        <v>0.21</v>
      </c>
    </row>
    <row r="287" spans="1:9" x14ac:dyDescent="0.25">
      <c r="A287" s="1">
        <v>8</v>
      </c>
      <c r="B287" s="1" t="s">
        <v>115</v>
      </c>
      <c r="C287" s="1" t="s">
        <v>128</v>
      </c>
      <c r="D287" s="1" t="s">
        <v>128</v>
      </c>
      <c r="E287" s="1" t="s">
        <v>41</v>
      </c>
      <c r="F287" s="1">
        <v>6152000600</v>
      </c>
      <c r="G287" s="1" t="s">
        <v>118</v>
      </c>
      <c r="H287" t="str">
        <f>VLOOKUP(F287,Blad3!$1:$1048576,3,FALSE)</f>
        <v>61560000</v>
      </c>
      <c r="I287" s="13">
        <v>0.21</v>
      </c>
    </row>
    <row r="288" spans="1:9" x14ac:dyDescent="0.25">
      <c r="A288" s="1">
        <v>8</v>
      </c>
      <c r="B288" s="1" t="s">
        <v>115</v>
      </c>
      <c r="C288" s="1" t="s">
        <v>128</v>
      </c>
      <c r="D288" s="1" t="s">
        <v>128</v>
      </c>
      <c r="E288" s="1" t="s">
        <v>108</v>
      </c>
      <c r="F288" s="1">
        <v>6030000200</v>
      </c>
      <c r="G288" s="1" t="s">
        <v>109</v>
      </c>
      <c r="H288" t="str">
        <f>VLOOKUP(F288,Blad3!$1:$1048576,3,FALSE)</f>
        <v>60320000</v>
      </c>
      <c r="I288" s="13">
        <v>0.21</v>
      </c>
    </row>
    <row r="289" spans="1:9" x14ac:dyDescent="0.25">
      <c r="A289" s="1">
        <v>8</v>
      </c>
      <c r="B289" s="1" t="s">
        <v>115</v>
      </c>
      <c r="C289" s="1" t="s">
        <v>128</v>
      </c>
      <c r="D289" s="1" t="s">
        <v>128</v>
      </c>
      <c r="E289" s="1" t="s">
        <v>119</v>
      </c>
      <c r="F289" s="1">
        <v>6030000100</v>
      </c>
      <c r="G289" s="1" t="s">
        <v>120</v>
      </c>
      <c r="H289" t="str">
        <f>VLOOKUP(F289,Blad3!$1:$1048576,3,FALSE)</f>
        <v>60310100</v>
      </c>
      <c r="I289" s="13">
        <v>0.21</v>
      </c>
    </row>
    <row r="290" spans="1:9" x14ac:dyDescent="0.25">
      <c r="A290" s="1">
        <v>8</v>
      </c>
      <c r="B290" s="1" t="s">
        <v>115</v>
      </c>
      <c r="C290" s="1" t="s">
        <v>128</v>
      </c>
      <c r="D290" s="1" t="s">
        <v>129</v>
      </c>
      <c r="E290" s="1" t="s">
        <v>41</v>
      </c>
      <c r="F290" s="1">
        <v>6152000600</v>
      </c>
      <c r="G290" s="1" t="s">
        <v>118</v>
      </c>
      <c r="H290" t="str">
        <f>VLOOKUP(F290,Blad3!$1:$1048576,3,FALSE)</f>
        <v>61560000</v>
      </c>
      <c r="I290" s="13">
        <v>0.21</v>
      </c>
    </row>
    <row r="291" spans="1:9" x14ac:dyDescent="0.25">
      <c r="A291" s="1">
        <v>8</v>
      </c>
      <c r="B291" s="1" t="s">
        <v>115</v>
      </c>
      <c r="C291" s="1" t="s">
        <v>128</v>
      </c>
      <c r="D291" s="1" t="s">
        <v>129</v>
      </c>
      <c r="E291" s="1" t="s">
        <v>108</v>
      </c>
      <c r="F291" s="1">
        <v>6030000200</v>
      </c>
      <c r="G291" s="1" t="s">
        <v>109</v>
      </c>
      <c r="H291" t="str">
        <f>VLOOKUP(F291,Blad3!$1:$1048576,3,FALSE)</f>
        <v>60320000</v>
      </c>
      <c r="I291" s="13">
        <v>0.21</v>
      </c>
    </row>
    <row r="292" spans="1:9" x14ac:dyDescent="0.25">
      <c r="A292" s="1">
        <v>8</v>
      </c>
      <c r="B292" s="1" t="s">
        <v>115</v>
      </c>
      <c r="C292" s="1" t="s">
        <v>128</v>
      </c>
      <c r="D292" s="1" t="s">
        <v>129</v>
      </c>
      <c r="E292" s="1" t="s">
        <v>119</v>
      </c>
      <c r="F292" s="1">
        <v>6030000100</v>
      </c>
      <c r="G292" s="1" t="s">
        <v>120</v>
      </c>
      <c r="H292" t="str">
        <f>VLOOKUP(F292,Blad3!$1:$1048576,3,FALSE)</f>
        <v>60310100</v>
      </c>
      <c r="I292" s="13">
        <v>0.21</v>
      </c>
    </row>
    <row r="293" spans="1:9" x14ac:dyDescent="0.25">
      <c r="A293" s="1">
        <v>8</v>
      </c>
      <c r="B293" s="1" t="s">
        <v>115</v>
      </c>
      <c r="C293" s="1" t="s">
        <v>532</v>
      </c>
      <c r="D293" s="1" t="s">
        <v>532</v>
      </c>
      <c r="E293" s="1" t="s">
        <v>108</v>
      </c>
      <c r="F293" s="1">
        <v>6030000200</v>
      </c>
      <c r="G293" s="1" t="s">
        <v>109</v>
      </c>
      <c r="H293" t="str">
        <f>VLOOKUP(F293,Blad3!$1:$1048576,3,FALSE)</f>
        <v>60320000</v>
      </c>
      <c r="I293" s="13">
        <v>0.21</v>
      </c>
    </row>
    <row r="294" spans="1:9" x14ac:dyDescent="0.25">
      <c r="A294" s="1">
        <v>8</v>
      </c>
      <c r="B294" s="1" t="s">
        <v>115</v>
      </c>
      <c r="C294" s="1" t="s">
        <v>532</v>
      </c>
      <c r="D294" s="1" t="s">
        <v>534</v>
      </c>
      <c r="E294" s="1" t="s">
        <v>108</v>
      </c>
      <c r="F294" s="1">
        <v>6030000200</v>
      </c>
      <c r="G294" s="1" t="s">
        <v>109</v>
      </c>
      <c r="H294" t="str">
        <f>VLOOKUP(F294,Blad3!$1:$1048576,3,FALSE)</f>
        <v>60320000</v>
      </c>
      <c r="I294" s="13">
        <v>0.21</v>
      </c>
    </row>
    <row r="295" spans="1:9" x14ac:dyDescent="0.25">
      <c r="A295" s="1">
        <v>8</v>
      </c>
      <c r="B295" s="1" t="s">
        <v>115</v>
      </c>
      <c r="C295" s="1" t="s">
        <v>535</v>
      </c>
      <c r="D295" s="1" t="s">
        <v>319</v>
      </c>
      <c r="E295" s="1" t="s">
        <v>41</v>
      </c>
      <c r="F295" s="1">
        <v>6145000200</v>
      </c>
      <c r="G295" s="1" t="s">
        <v>319</v>
      </c>
      <c r="H295" t="str">
        <f>VLOOKUP(F295,Blad3!$1:$1048576,3,FALSE)</f>
        <v>61450000</v>
      </c>
      <c r="I295" s="13">
        <v>0.06</v>
      </c>
    </row>
    <row r="296" spans="1:9" x14ac:dyDescent="0.25">
      <c r="A296" s="1">
        <v>8</v>
      </c>
      <c r="B296" s="1" t="s">
        <v>115</v>
      </c>
      <c r="C296" s="1" t="s">
        <v>535</v>
      </c>
      <c r="D296" s="1" t="s">
        <v>536</v>
      </c>
      <c r="E296" s="1" t="s">
        <v>41</v>
      </c>
      <c r="F296" s="1">
        <v>6145000200</v>
      </c>
      <c r="G296" s="1" t="s">
        <v>319</v>
      </c>
      <c r="H296" t="str">
        <f>VLOOKUP(F296,Blad3!$1:$1048576,3,FALSE)</f>
        <v>61450000</v>
      </c>
      <c r="I296" s="13">
        <v>0</v>
      </c>
    </row>
    <row r="297" spans="1:9" x14ac:dyDescent="0.25">
      <c r="A297" s="1">
        <v>9</v>
      </c>
      <c r="B297" s="1" t="s">
        <v>177</v>
      </c>
      <c r="C297" s="1" t="s">
        <v>178</v>
      </c>
      <c r="D297" s="1" t="s">
        <v>178</v>
      </c>
      <c r="E297" s="1" t="s">
        <v>41</v>
      </c>
      <c r="F297" s="1">
        <v>6145000100</v>
      </c>
      <c r="G297" s="1" t="s">
        <v>144</v>
      </c>
      <c r="H297" t="str">
        <f>VLOOKUP(F297,Blad3!$1:$1048576,3,FALSE)</f>
        <v>61450000</v>
      </c>
      <c r="I297" s="13">
        <v>0.21</v>
      </c>
    </row>
    <row r="298" spans="1:9" x14ac:dyDescent="0.25">
      <c r="A298" s="1">
        <v>9</v>
      </c>
      <c r="B298" s="1" t="s">
        <v>177</v>
      </c>
      <c r="C298" s="1" t="s">
        <v>178</v>
      </c>
      <c r="D298" s="1" t="s">
        <v>178</v>
      </c>
      <c r="E298" s="1" t="s">
        <v>57</v>
      </c>
      <c r="F298" s="1">
        <v>6030000300</v>
      </c>
      <c r="G298" s="1" t="s">
        <v>58</v>
      </c>
      <c r="H298" t="str">
        <f>VLOOKUP(F298,Blad3!$1:$1048576,3,FALSE)</f>
        <v>60330000</v>
      </c>
      <c r="I298" s="13">
        <v>0.21</v>
      </c>
    </row>
    <row r="299" spans="1:9" x14ac:dyDescent="0.25">
      <c r="A299" s="1">
        <v>9</v>
      </c>
      <c r="B299" s="1" t="s">
        <v>177</v>
      </c>
      <c r="C299" s="1" t="s">
        <v>178</v>
      </c>
      <c r="D299" s="1" t="s">
        <v>178</v>
      </c>
      <c r="E299" s="1" t="s">
        <v>45</v>
      </c>
      <c r="F299" s="1">
        <v>6161000200</v>
      </c>
      <c r="G299" s="1" t="s">
        <v>45</v>
      </c>
      <c r="H299" t="str">
        <f>VLOOKUP(F299,Blad3!$1:$1048576,3,FALSE)</f>
        <v>61612000</v>
      </c>
      <c r="I299" s="13">
        <v>0.21</v>
      </c>
    </row>
    <row r="300" spans="1:9" x14ac:dyDescent="0.25">
      <c r="A300" s="1">
        <v>9</v>
      </c>
      <c r="B300" s="1" t="s">
        <v>177</v>
      </c>
      <c r="C300" s="1" t="s">
        <v>178</v>
      </c>
      <c r="D300" s="1" t="s">
        <v>178</v>
      </c>
      <c r="E300" s="1" t="s">
        <v>108</v>
      </c>
      <c r="F300" s="1">
        <v>6030000200</v>
      </c>
      <c r="G300" s="1" t="s">
        <v>109</v>
      </c>
      <c r="H300" t="str">
        <f>VLOOKUP(F300,Blad3!$1:$1048576,3,FALSE)</f>
        <v>60320000</v>
      </c>
      <c r="I300" s="13">
        <v>0.21</v>
      </c>
    </row>
    <row r="301" spans="1:9" x14ac:dyDescent="0.25">
      <c r="A301" s="1">
        <v>9</v>
      </c>
      <c r="B301" s="1" t="s">
        <v>177</v>
      </c>
      <c r="C301" s="1" t="s">
        <v>178</v>
      </c>
      <c r="D301" s="1" t="s">
        <v>178</v>
      </c>
      <c r="E301" s="1" t="s">
        <v>119</v>
      </c>
      <c r="F301" s="1">
        <v>6030000100</v>
      </c>
      <c r="G301" s="1" t="s">
        <v>120</v>
      </c>
      <c r="H301" t="str">
        <f>VLOOKUP(F301,Blad3!$1:$1048576,3,FALSE)</f>
        <v>60310100</v>
      </c>
      <c r="I301" s="13">
        <v>0.21</v>
      </c>
    </row>
    <row r="302" spans="1:9" x14ac:dyDescent="0.25">
      <c r="A302" s="1">
        <v>9</v>
      </c>
      <c r="B302" s="1" t="s">
        <v>177</v>
      </c>
      <c r="C302" s="1" t="s">
        <v>178</v>
      </c>
      <c r="D302" s="1" t="s">
        <v>180</v>
      </c>
      <c r="E302" s="1" t="s">
        <v>41</v>
      </c>
      <c r="F302" s="1">
        <v>6145000100</v>
      </c>
      <c r="G302" s="1" t="s">
        <v>144</v>
      </c>
      <c r="H302" t="str">
        <f>VLOOKUP(F302,Blad3!$1:$1048576,3,FALSE)</f>
        <v>61450000</v>
      </c>
      <c r="I302" s="13">
        <v>0.21</v>
      </c>
    </row>
    <row r="303" spans="1:9" x14ac:dyDescent="0.25">
      <c r="A303" s="1">
        <v>9</v>
      </c>
      <c r="B303" s="1" t="s">
        <v>177</v>
      </c>
      <c r="C303" s="1" t="s">
        <v>178</v>
      </c>
      <c r="D303" s="1" t="s">
        <v>180</v>
      </c>
      <c r="E303" s="1" t="s">
        <v>57</v>
      </c>
      <c r="F303" s="1">
        <v>6030000300</v>
      </c>
      <c r="G303" s="1" t="s">
        <v>58</v>
      </c>
      <c r="H303" t="str">
        <f>VLOOKUP(F303,Blad3!$1:$1048576,3,FALSE)</f>
        <v>60330000</v>
      </c>
      <c r="I303" s="13">
        <v>0.21</v>
      </c>
    </row>
    <row r="304" spans="1:9" x14ac:dyDescent="0.25">
      <c r="A304" s="1">
        <v>9</v>
      </c>
      <c r="B304" s="1" t="s">
        <v>177</v>
      </c>
      <c r="C304" s="1" t="s">
        <v>178</v>
      </c>
      <c r="D304" s="1" t="s">
        <v>180</v>
      </c>
      <c r="E304" s="1" t="s">
        <v>45</v>
      </c>
      <c r="F304" s="1">
        <v>6161000200</v>
      </c>
      <c r="G304" s="1" t="s">
        <v>45</v>
      </c>
      <c r="H304" t="str">
        <f>VLOOKUP(F304,Blad3!$1:$1048576,3,FALSE)</f>
        <v>61612000</v>
      </c>
      <c r="I304" s="13">
        <v>0.21</v>
      </c>
    </row>
    <row r="305" spans="1:9" x14ac:dyDescent="0.25">
      <c r="A305" s="1">
        <v>9</v>
      </c>
      <c r="B305" s="1" t="s">
        <v>177</v>
      </c>
      <c r="C305" s="1" t="s">
        <v>178</v>
      </c>
      <c r="D305" s="1" t="s">
        <v>180</v>
      </c>
      <c r="E305" s="1" t="s">
        <v>108</v>
      </c>
      <c r="F305" s="1">
        <v>6030000200</v>
      </c>
      <c r="G305" s="1" t="s">
        <v>109</v>
      </c>
      <c r="H305" t="str">
        <f>VLOOKUP(F305,Blad3!$1:$1048576,3,FALSE)</f>
        <v>60320000</v>
      </c>
      <c r="I305" s="13">
        <v>0.21</v>
      </c>
    </row>
    <row r="306" spans="1:9" x14ac:dyDescent="0.25">
      <c r="A306" s="1">
        <v>9</v>
      </c>
      <c r="B306" s="1" t="s">
        <v>177</v>
      </c>
      <c r="C306" s="1" t="s">
        <v>178</v>
      </c>
      <c r="D306" s="1" t="s">
        <v>180</v>
      </c>
      <c r="E306" s="1" t="s">
        <v>119</v>
      </c>
      <c r="F306" s="1">
        <v>6030000100</v>
      </c>
      <c r="G306" s="1" t="s">
        <v>120</v>
      </c>
      <c r="H306" t="str">
        <f>VLOOKUP(F306,Blad3!$1:$1048576,3,FALSE)</f>
        <v>60310100</v>
      </c>
      <c r="I306" s="13">
        <v>0.21</v>
      </c>
    </row>
    <row r="307" spans="1:9" x14ac:dyDescent="0.25">
      <c r="A307" s="1">
        <v>9</v>
      </c>
      <c r="B307" s="1" t="s">
        <v>177</v>
      </c>
      <c r="C307" s="1"/>
      <c r="D307" s="1" t="s">
        <v>538</v>
      </c>
      <c r="E307" s="1" t="s">
        <v>41</v>
      </c>
      <c r="F307" s="1">
        <v>6152001200</v>
      </c>
      <c r="G307" s="1" t="s">
        <v>539</v>
      </c>
      <c r="H307" t="str">
        <f>VLOOKUP(F307,Blad3!$1:$1048576,3,FALSE)</f>
        <v>61560000</v>
      </c>
      <c r="I307" s="13">
        <v>0.21</v>
      </c>
    </row>
    <row r="308" spans="1:9" x14ac:dyDescent="0.25">
      <c r="A308" s="1">
        <v>9</v>
      </c>
      <c r="B308" s="1" t="s">
        <v>177</v>
      </c>
      <c r="C308" s="1"/>
      <c r="D308" s="1" t="s">
        <v>541</v>
      </c>
      <c r="E308" s="1" t="s">
        <v>41</v>
      </c>
      <c r="F308" s="1">
        <v>6152001200</v>
      </c>
      <c r="G308" s="1" t="s">
        <v>539</v>
      </c>
      <c r="H308" t="str">
        <f>VLOOKUP(F308,Blad3!$1:$1048576,3,FALSE)</f>
        <v>61560000</v>
      </c>
      <c r="I308" s="13">
        <v>0.21</v>
      </c>
    </row>
    <row r="309" spans="1:9" x14ac:dyDescent="0.25">
      <c r="A309" s="1">
        <v>9</v>
      </c>
      <c r="B309" s="1" t="s">
        <v>177</v>
      </c>
      <c r="C309" s="1" t="s">
        <v>426</v>
      </c>
      <c r="D309" s="1" t="s">
        <v>542</v>
      </c>
      <c r="E309" s="1" t="s">
        <v>41</v>
      </c>
      <c r="F309" s="1">
        <v>6152001200</v>
      </c>
      <c r="G309" s="1" t="s">
        <v>539</v>
      </c>
      <c r="H309" t="str">
        <f>VLOOKUP(F309,Blad3!$1:$1048576,3,FALSE)</f>
        <v>61560000</v>
      </c>
      <c r="I309" s="13">
        <v>0.21</v>
      </c>
    </row>
    <row r="310" spans="1:9" x14ac:dyDescent="0.25">
      <c r="A310" s="1">
        <v>9</v>
      </c>
      <c r="B310" s="1" t="s">
        <v>177</v>
      </c>
      <c r="C310" s="1" t="s">
        <v>426</v>
      </c>
      <c r="D310" s="1" t="s">
        <v>544</v>
      </c>
      <c r="E310" s="1" t="s">
        <v>41</v>
      </c>
      <c r="F310" s="1">
        <v>6152001200</v>
      </c>
      <c r="G310" s="1" t="s">
        <v>539</v>
      </c>
      <c r="H310" t="str">
        <f>VLOOKUP(F310,Blad3!$1:$1048576,3,FALSE)</f>
        <v>61560000</v>
      </c>
      <c r="I310" s="13">
        <v>0.21</v>
      </c>
    </row>
    <row r="311" spans="1:9" x14ac:dyDescent="0.25">
      <c r="A311" s="1">
        <v>9</v>
      </c>
      <c r="B311" s="1" t="s">
        <v>177</v>
      </c>
      <c r="C311" s="1" t="s">
        <v>545</v>
      </c>
      <c r="D311" s="1" t="s">
        <v>546</v>
      </c>
      <c r="E311" s="1" t="s">
        <v>41</v>
      </c>
      <c r="F311" s="1">
        <v>6145000100</v>
      </c>
      <c r="G311" s="1" t="s">
        <v>144</v>
      </c>
      <c r="H311" t="str">
        <f>VLOOKUP(F311,Blad3!$1:$1048576,3,FALSE)</f>
        <v>61450000</v>
      </c>
      <c r="I311" s="13">
        <v>0.21</v>
      </c>
    </row>
    <row r="312" spans="1:9" x14ac:dyDescent="0.25">
      <c r="A312" s="1">
        <v>9</v>
      </c>
      <c r="B312" s="1" t="s">
        <v>177</v>
      </c>
      <c r="C312" s="1"/>
      <c r="D312" s="1" t="s">
        <v>547</v>
      </c>
      <c r="E312" s="1" t="s">
        <v>41</v>
      </c>
      <c r="F312" s="1">
        <v>6152001200</v>
      </c>
      <c r="G312" s="1" t="s">
        <v>539</v>
      </c>
      <c r="H312" t="str">
        <f>VLOOKUP(F312,Blad3!$1:$1048576,3,FALSE)</f>
        <v>61560000</v>
      </c>
      <c r="I312" s="13">
        <v>0.06</v>
      </c>
    </row>
    <row r="313" spans="1:9" x14ac:dyDescent="0.25">
      <c r="A313" s="1">
        <v>9</v>
      </c>
      <c r="B313" s="1" t="s">
        <v>177</v>
      </c>
      <c r="C313" s="1"/>
      <c r="D313" s="1" t="s">
        <v>549</v>
      </c>
      <c r="E313" s="1" t="s">
        <v>41</v>
      </c>
      <c r="F313" s="1">
        <v>6152001200</v>
      </c>
      <c r="G313" s="1" t="s">
        <v>539</v>
      </c>
      <c r="H313" t="str">
        <f>VLOOKUP(F313,Blad3!$1:$1048576,3,FALSE)</f>
        <v>61560000</v>
      </c>
      <c r="I313" s="13">
        <v>0.06</v>
      </c>
    </row>
    <row r="314" spans="1:9" x14ac:dyDescent="0.25">
      <c r="A314" s="1">
        <v>10</v>
      </c>
      <c r="B314" s="1" t="s">
        <v>256</v>
      </c>
      <c r="C314" s="1"/>
      <c r="D314" s="1" t="s">
        <v>259</v>
      </c>
      <c r="E314" s="1" t="s">
        <v>170</v>
      </c>
      <c r="F314" s="1">
        <v>6152000300</v>
      </c>
      <c r="G314" s="1" t="s">
        <v>43</v>
      </c>
      <c r="H314" t="str">
        <f>VLOOKUP(F314,Blad3!$1:$1048576,3,FALSE)</f>
        <v>61530000</v>
      </c>
      <c r="I314" s="13">
        <v>0</v>
      </c>
    </row>
    <row r="315" spans="1:9" x14ac:dyDescent="0.25">
      <c r="A315" s="1">
        <v>10</v>
      </c>
      <c r="B315" s="1" t="s">
        <v>256</v>
      </c>
      <c r="C315" s="1"/>
      <c r="D315" s="1" t="s">
        <v>259</v>
      </c>
      <c r="E315" s="1" t="s">
        <v>46</v>
      </c>
      <c r="F315" s="1">
        <v>6146000400</v>
      </c>
      <c r="G315" s="1" t="s">
        <v>47</v>
      </c>
      <c r="H315" t="str">
        <f>VLOOKUP(F315,Blad3!$1:$1048576,3,FALSE)</f>
        <v>61460000</v>
      </c>
      <c r="I315" s="13">
        <v>0</v>
      </c>
    </row>
    <row r="316" spans="1:9" x14ac:dyDescent="0.25">
      <c r="A316" s="1">
        <v>10</v>
      </c>
      <c r="B316" s="1" t="s">
        <v>256</v>
      </c>
      <c r="C316" s="1" t="s">
        <v>257</v>
      </c>
      <c r="D316" s="1" t="s">
        <v>261</v>
      </c>
      <c r="E316" s="1" t="s">
        <v>41</v>
      </c>
      <c r="F316" s="1">
        <v>6152000300</v>
      </c>
      <c r="G316" s="1" t="s">
        <v>43</v>
      </c>
      <c r="H316" t="str">
        <f>VLOOKUP(F316,Blad3!$1:$1048576,3,FALSE)</f>
        <v>61530000</v>
      </c>
      <c r="I316" s="13">
        <v>0</v>
      </c>
    </row>
    <row r="317" spans="1:9" x14ac:dyDescent="0.25">
      <c r="A317" s="1">
        <v>10</v>
      </c>
      <c r="B317" s="1" t="s">
        <v>256</v>
      </c>
      <c r="C317" s="1" t="s">
        <v>257</v>
      </c>
      <c r="D317" s="1" t="s">
        <v>261</v>
      </c>
      <c r="E317" s="1" t="s">
        <v>46</v>
      </c>
      <c r="F317" s="1">
        <v>6146000400</v>
      </c>
      <c r="G317" s="1" t="s">
        <v>47</v>
      </c>
      <c r="H317" t="str">
        <f>VLOOKUP(F317,Blad3!$1:$1048576,3,FALSE)</f>
        <v>61460000</v>
      </c>
      <c r="I317" s="13">
        <v>0</v>
      </c>
    </row>
    <row r="318" spans="1:9" x14ac:dyDescent="0.25">
      <c r="A318" s="1">
        <v>10</v>
      </c>
      <c r="B318" s="1" t="s">
        <v>256</v>
      </c>
      <c r="C318" s="1" t="s">
        <v>262</v>
      </c>
      <c r="D318" s="1" t="s">
        <v>262</v>
      </c>
      <c r="E318" s="1" t="s">
        <v>159</v>
      </c>
      <c r="F318" s="1">
        <v>6152000200</v>
      </c>
      <c r="G318" s="1" t="s">
        <v>164</v>
      </c>
      <c r="H318" t="str">
        <f>VLOOKUP(F318,Blad3!$1:$1048576,3,FALSE)</f>
        <v>61520002</v>
      </c>
      <c r="I318" s="13">
        <v>0.21</v>
      </c>
    </row>
    <row r="319" spans="1:9" x14ac:dyDescent="0.25">
      <c r="A319" s="1">
        <v>10</v>
      </c>
      <c r="B319" s="1" t="s">
        <v>256</v>
      </c>
      <c r="C319" s="1" t="s">
        <v>262</v>
      </c>
      <c r="D319" s="1" t="s">
        <v>262</v>
      </c>
      <c r="E319" s="1" t="s">
        <v>161</v>
      </c>
      <c r="F319" s="1">
        <v>6152000300</v>
      </c>
      <c r="G319" s="1" t="s">
        <v>43</v>
      </c>
      <c r="H319" t="str">
        <f>VLOOKUP(F319,Blad3!$1:$1048576,3,FALSE)</f>
        <v>61530000</v>
      </c>
      <c r="I319" s="13">
        <v>0.21</v>
      </c>
    </row>
    <row r="320" spans="1:9" x14ac:dyDescent="0.25">
      <c r="A320" s="1">
        <v>10</v>
      </c>
      <c r="B320" s="1" t="s">
        <v>256</v>
      </c>
      <c r="C320" s="1" t="s">
        <v>262</v>
      </c>
      <c r="D320" s="1" t="s">
        <v>262</v>
      </c>
      <c r="E320" s="1" t="s">
        <v>263</v>
      </c>
      <c r="F320" s="1">
        <v>6161000300</v>
      </c>
      <c r="G320" s="1" t="s">
        <v>264</v>
      </c>
      <c r="H320" t="str">
        <f>VLOOKUP(F320,Blad3!$1:$1048576,3,FALSE)</f>
        <v>61613000</v>
      </c>
      <c r="I320" s="13">
        <v>0.21</v>
      </c>
    </row>
    <row r="321" spans="1:9" x14ac:dyDescent="0.25">
      <c r="A321" s="1">
        <v>10</v>
      </c>
      <c r="B321" s="1" t="s">
        <v>256</v>
      </c>
      <c r="C321" s="1" t="s">
        <v>265</v>
      </c>
      <c r="D321" s="1" t="s">
        <v>266</v>
      </c>
      <c r="E321" s="1" t="s">
        <v>41</v>
      </c>
      <c r="F321" s="1">
        <v>6146000300</v>
      </c>
      <c r="G321" s="1" t="s">
        <v>267</v>
      </c>
      <c r="H321" t="str">
        <f>VLOOKUP(F321,Blad3!$1:$1048576,3,FALSE)</f>
        <v>61460000</v>
      </c>
      <c r="I321" s="13">
        <v>0.06</v>
      </c>
    </row>
    <row r="322" spans="1:9" x14ac:dyDescent="0.25">
      <c r="A322" s="1">
        <v>10</v>
      </c>
      <c r="B322" s="1" t="s">
        <v>256</v>
      </c>
      <c r="C322" s="1" t="s">
        <v>265</v>
      </c>
      <c r="D322" s="1" t="s">
        <v>266</v>
      </c>
      <c r="E322" s="1" t="s">
        <v>159</v>
      </c>
      <c r="F322" s="1">
        <v>6152000200</v>
      </c>
      <c r="G322" s="1" t="s">
        <v>164</v>
      </c>
      <c r="H322" t="str">
        <f>VLOOKUP(F322,Blad3!$1:$1048576,3,FALSE)</f>
        <v>61520002</v>
      </c>
      <c r="I322" s="13">
        <v>0.06</v>
      </c>
    </row>
    <row r="323" spans="1:9" x14ac:dyDescent="0.25">
      <c r="A323" s="1">
        <v>10</v>
      </c>
      <c r="B323" s="1" t="s">
        <v>256</v>
      </c>
      <c r="C323" s="1" t="s">
        <v>265</v>
      </c>
      <c r="D323" s="1" t="s">
        <v>270</v>
      </c>
      <c r="E323" s="1" t="s">
        <v>41</v>
      </c>
      <c r="F323" s="1">
        <v>6146000300</v>
      </c>
      <c r="G323" s="1" t="s">
        <v>267</v>
      </c>
      <c r="H323" t="str">
        <f>VLOOKUP(F323,Blad3!$1:$1048576,3,FALSE)</f>
        <v>61460000</v>
      </c>
      <c r="I323" s="13">
        <v>0.06</v>
      </c>
    </row>
    <row r="324" spans="1:9" x14ac:dyDescent="0.25">
      <c r="A324" s="1">
        <v>10</v>
      </c>
      <c r="B324" s="1" t="s">
        <v>256</v>
      </c>
      <c r="C324" s="1" t="s">
        <v>265</v>
      </c>
      <c r="D324" s="1" t="s">
        <v>270</v>
      </c>
      <c r="E324" s="1" t="s">
        <v>159</v>
      </c>
      <c r="F324" s="1">
        <v>6152000200</v>
      </c>
      <c r="G324" s="1" t="s">
        <v>164</v>
      </c>
      <c r="H324" t="str">
        <f>VLOOKUP(F324,Blad3!$1:$1048576,3,FALSE)</f>
        <v>61520002</v>
      </c>
      <c r="I324" s="13">
        <v>0.06</v>
      </c>
    </row>
    <row r="325" spans="1:9" x14ac:dyDescent="0.25">
      <c r="A325" s="1">
        <v>10</v>
      </c>
      <c r="B325" s="1" t="s">
        <v>256</v>
      </c>
      <c r="C325" s="1" t="s">
        <v>265</v>
      </c>
      <c r="D325" s="1" t="s">
        <v>271</v>
      </c>
      <c r="E325" s="1" t="s">
        <v>41</v>
      </c>
      <c r="F325" s="1">
        <v>6146000300</v>
      </c>
      <c r="G325" s="1" t="s">
        <v>267</v>
      </c>
      <c r="H325" t="str">
        <f>VLOOKUP(F325,Blad3!$1:$1048576,3,FALSE)</f>
        <v>61460000</v>
      </c>
      <c r="I325" s="13">
        <v>0.06</v>
      </c>
    </row>
    <row r="326" spans="1:9" x14ac:dyDescent="0.25">
      <c r="A326" s="1">
        <v>10</v>
      </c>
      <c r="B326" s="1" t="s">
        <v>256</v>
      </c>
      <c r="C326" s="1" t="s">
        <v>265</v>
      </c>
      <c r="D326" s="1" t="s">
        <v>271</v>
      </c>
      <c r="E326" s="1" t="s">
        <v>159</v>
      </c>
      <c r="F326" s="1">
        <v>6152000200</v>
      </c>
      <c r="G326" s="1" t="s">
        <v>164</v>
      </c>
      <c r="H326" t="str">
        <f>VLOOKUP(F326,Blad3!$1:$1048576,3,FALSE)</f>
        <v>61520002</v>
      </c>
      <c r="I326" s="13">
        <v>0.06</v>
      </c>
    </row>
    <row r="327" spans="1:9" x14ac:dyDescent="0.25">
      <c r="A327" s="1">
        <v>10</v>
      </c>
      <c r="B327" s="1" t="s">
        <v>256</v>
      </c>
      <c r="C327" s="1" t="s">
        <v>265</v>
      </c>
      <c r="D327" s="1" t="s">
        <v>273</v>
      </c>
      <c r="E327" s="1" t="s">
        <v>41</v>
      </c>
      <c r="F327" s="1">
        <v>6146000300</v>
      </c>
      <c r="G327" s="1" t="s">
        <v>267</v>
      </c>
      <c r="H327" t="str">
        <f>VLOOKUP(F327,Blad3!$1:$1048576,3,FALSE)</f>
        <v>61460000</v>
      </c>
      <c r="I327" s="13">
        <v>0.06</v>
      </c>
    </row>
    <row r="328" spans="1:9" x14ac:dyDescent="0.25">
      <c r="A328" s="1">
        <v>10</v>
      </c>
      <c r="B328" s="1" t="s">
        <v>256</v>
      </c>
      <c r="C328" s="1" t="s">
        <v>265</v>
      </c>
      <c r="D328" s="1" t="s">
        <v>273</v>
      </c>
      <c r="E328" s="1" t="s">
        <v>159</v>
      </c>
      <c r="F328" s="1">
        <v>6152000200</v>
      </c>
      <c r="G328" s="1" t="s">
        <v>164</v>
      </c>
      <c r="H328" t="str">
        <f>VLOOKUP(F328,Blad3!$1:$1048576,3,FALSE)</f>
        <v>61520002</v>
      </c>
      <c r="I328" s="13">
        <v>0.06</v>
      </c>
    </row>
    <row r="329" spans="1:9" x14ac:dyDescent="0.25">
      <c r="A329" s="1">
        <v>10</v>
      </c>
      <c r="B329" s="1" t="s">
        <v>256</v>
      </c>
      <c r="C329" s="1" t="s">
        <v>265</v>
      </c>
      <c r="D329" s="1" t="s">
        <v>274</v>
      </c>
      <c r="E329" s="1" t="s">
        <v>41</v>
      </c>
      <c r="F329" s="1">
        <v>6146000300</v>
      </c>
      <c r="G329" s="1" t="s">
        <v>267</v>
      </c>
      <c r="H329" t="str">
        <f>VLOOKUP(F329,Blad3!$1:$1048576,3,FALSE)</f>
        <v>61460000</v>
      </c>
      <c r="I329" s="13">
        <v>0.06</v>
      </c>
    </row>
    <row r="330" spans="1:9" x14ac:dyDescent="0.25">
      <c r="A330" s="1">
        <v>10</v>
      </c>
      <c r="B330" s="1" t="s">
        <v>256</v>
      </c>
      <c r="C330" s="1" t="s">
        <v>265</v>
      </c>
      <c r="D330" s="1" t="s">
        <v>274</v>
      </c>
      <c r="E330" s="1" t="s">
        <v>159</v>
      </c>
      <c r="F330" s="1">
        <v>6152000200</v>
      </c>
      <c r="G330" s="1" t="s">
        <v>164</v>
      </c>
      <c r="H330" t="str">
        <f>VLOOKUP(F330,Blad3!$1:$1048576,3,FALSE)</f>
        <v>61520002</v>
      </c>
      <c r="I330" s="13">
        <v>0.06</v>
      </c>
    </row>
    <row r="331" spans="1:9" x14ac:dyDescent="0.25">
      <c r="A331" s="1">
        <v>10</v>
      </c>
      <c r="B331" s="1" t="s">
        <v>256</v>
      </c>
      <c r="C331" s="1" t="s">
        <v>265</v>
      </c>
      <c r="D331" s="1" t="s">
        <v>276</v>
      </c>
      <c r="E331" s="1" t="s">
        <v>159</v>
      </c>
      <c r="F331" s="1">
        <v>6152000200</v>
      </c>
      <c r="G331" s="1" t="s">
        <v>164</v>
      </c>
      <c r="H331" t="str">
        <f>VLOOKUP(F331,Blad3!$1:$1048576,3,FALSE)</f>
        <v>61520002</v>
      </c>
      <c r="I331" s="13">
        <v>0.06</v>
      </c>
    </row>
    <row r="332" spans="1:9" x14ac:dyDescent="0.25">
      <c r="A332" s="1">
        <v>10</v>
      </c>
      <c r="B332" s="1" t="s">
        <v>256</v>
      </c>
      <c r="C332" s="1" t="s">
        <v>283</v>
      </c>
      <c r="D332" s="1" t="s">
        <v>283</v>
      </c>
      <c r="E332" s="1" t="s">
        <v>45</v>
      </c>
      <c r="F332" s="1">
        <v>6161000200</v>
      </c>
      <c r="G332" s="1" t="s">
        <v>45</v>
      </c>
      <c r="H332" t="str">
        <f>VLOOKUP(F332,Blad3!$1:$1048576,3,FALSE)</f>
        <v>61612000</v>
      </c>
      <c r="I332" s="13">
        <v>0.06</v>
      </c>
    </row>
    <row r="333" spans="1:9" x14ac:dyDescent="0.25">
      <c r="A333" s="1">
        <v>10</v>
      </c>
      <c r="B333" s="1" t="s">
        <v>256</v>
      </c>
      <c r="C333" s="1" t="s">
        <v>283</v>
      </c>
      <c r="D333" s="1" t="s">
        <v>283</v>
      </c>
      <c r="E333" s="1" t="s">
        <v>108</v>
      </c>
      <c r="F333" s="1">
        <v>6030000200</v>
      </c>
      <c r="G333" s="1" t="s">
        <v>109</v>
      </c>
      <c r="H333" t="str">
        <f>VLOOKUP(F333,Blad3!$1:$1048576,3,FALSE)</f>
        <v>60320000</v>
      </c>
      <c r="I333" s="13">
        <v>0.06</v>
      </c>
    </row>
    <row r="334" spans="1:9" x14ac:dyDescent="0.25">
      <c r="A334" s="1">
        <v>10</v>
      </c>
      <c r="B334" s="1" t="s">
        <v>256</v>
      </c>
      <c r="C334" s="1" t="s">
        <v>283</v>
      </c>
      <c r="D334" s="1" t="s">
        <v>283</v>
      </c>
      <c r="E334" s="1" t="s">
        <v>119</v>
      </c>
      <c r="F334" s="1">
        <v>6030000100</v>
      </c>
      <c r="G334" s="1" t="s">
        <v>120</v>
      </c>
      <c r="H334" t="str">
        <f>VLOOKUP(F334,Blad3!$1:$1048576,3,FALSE)</f>
        <v>60310100</v>
      </c>
      <c r="I334" s="13">
        <v>0.06</v>
      </c>
    </row>
    <row r="335" spans="1:9" x14ac:dyDescent="0.25">
      <c r="A335" s="1">
        <v>10</v>
      </c>
      <c r="B335" s="1" t="s">
        <v>256</v>
      </c>
      <c r="C335" s="1" t="s">
        <v>283</v>
      </c>
      <c r="D335" s="1" t="s">
        <v>283</v>
      </c>
      <c r="E335" s="1" t="s">
        <v>263</v>
      </c>
      <c r="F335" s="11">
        <v>6161000300</v>
      </c>
      <c r="G335" s="1" t="s">
        <v>264</v>
      </c>
      <c r="H335" t="str">
        <f>VLOOKUP(F335,Blad3!$1:$1048576,3,FALSE)</f>
        <v>61613000</v>
      </c>
      <c r="I335" s="13">
        <v>0.06</v>
      </c>
    </row>
    <row r="336" spans="1:9" x14ac:dyDescent="0.25">
      <c r="A336" s="1">
        <v>10</v>
      </c>
      <c r="B336" s="1" t="s">
        <v>256</v>
      </c>
      <c r="C336" s="1" t="s">
        <v>283</v>
      </c>
      <c r="D336" s="1" t="s">
        <v>286</v>
      </c>
      <c r="E336" s="1" t="s">
        <v>41</v>
      </c>
      <c r="F336" s="1">
        <v>6146000900</v>
      </c>
      <c r="G336" s="1" t="s">
        <v>56</v>
      </c>
      <c r="H336" t="str">
        <f>VLOOKUP(F336,Blad3!$1:$1048576,3,FALSE)</f>
        <v>61490000</v>
      </c>
      <c r="I336" s="13">
        <v>0.06</v>
      </c>
    </row>
    <row r="337" spans="1:9" x14ac:dyDescent="0.25">
      <c r="A337" s="1">
        <v>10</v>
      </c>
      <c r="B337" s="1" t="s">
        <v>256</v>
      </c>
      <c r="C337" s="1" t="s">
        <v>283</v>
      </c>
      <c r="D337" s="1" t="s">
        <v>286</v>
      </c>
      <c r="E337" s="1" t="s">
        <v>45</v>
      </c>
      <c r="F337" s="1">
        <v>6161000200</v>
      </c>
      <c r="G337" s="1" t="s">
        <v>45</v>
      </c>
      <c r="H337" t="str">
        <f>VLOOKUP(F337,Blad3!$1:$1048576,3,FALSE)</f>
        <v>61612000</v>
      </c>
      <c r="I337" s="13">
        <v>0.06</v>
      </c>
    </row>
    <row r="338" spans="1:9" x14ac:dyDescent="0.25">
      <c r="A338" s="1">
        <v>10</v>
      </c>
      <c r="B338" s="1" t="s">
        <v>256</v>
      </c>
      <c r="C338" s="1" t="s">
        <v>283</v>
      </c>
      <c r="D338" s="1" t="s">
        <v>286</v>
      </c>
      <c r="E338" s="1" t="s">
        <v>159</v>
      </c>
      <c r="F338" s="1">
        <v>6152000200</v>
      </c>
      <c r="G338" s="1" t="s">
        <v>164</v>
      </c>
      <c r="H338" t="str">
        <f>VLOOKUP(F338,Blad3!$1:$1048576,3,FALSE)</f>
        <v>61520002</v>
      </c>
      <c r="I338" s="13">
        <v>0.06</v>
      </c>
    </row>
    <row r="339" spans="1:9" x14ac:dyDescent="0.25">
      <c r="A339" s="1">
        <v>10</v>
      </c>
      <c r="B339" s="1" t="s">
        <v>256</v>
      </c>
      <c r="C339" s="1" t="s">
        <v>283</v>
      </c>
      <c r="D339" s="1" t="s">
        <v>286</v>
      </c>
      <c r="E339" s="1" t="s">
        <v>161</v>
      </c>
      <c r="F339" s="1">
        <v>6152000300</v>
      </c>
      <c r="G339" s="1" t="s">
        <v>43</v>
      </c>
      <c r="H339" t="str">
        <f>VLOOKUP(F339,Blad3!$1:$1048576,3,FALSE)</f>
        <v>61530000</v>
      </c>
      <c r="I339" s="13">
        <v>0.06</v>
      </c>
    </row>
    <row r="340" spans="1:9" x14ac:dyDescent="0.25">
      <c r="A340" s="1">
        <v>10</v>
      </c>
      <c r="B340" s="1" t="s">
        <v>256</v>
      </c>
      <c r="C340" s="1" t="s">
        <v>283</v>
      </c>
      <c r="D340" s="1" t="s">
        <v>286</v>
      </c>
      <c r="E340" s="1" t="s">
        <v>108</v>
      </c>
      <c r="F340" s="1">
        <v>6030000200</v>
      </c>
      <c r="G340" s="1" t="s">
        <v>109</v>
      </c>
      <c r="H340" t="str">
        <f>VLOOKUP(F340,Blad3!$1:$1048576,3,FALSE)</f>
        <v>60320000</v>
      </c>
      <c r="I340" s="13">
        <v>0.06</v>
      </c>
    </row>
    <row r="341" spans="1:9" x14ac:dyDescent="0.25">
      <c r="A341" s="1">
        <v>10</v>
      </c>
      <c r="B341" s="1" t="s">
        <v>256</v>
      </c>
      <c r="C341" s="1" t="s">
        <v>283</v>
      </c>
      <c r="D341" s="1" t="s">
        <v>286</v>
      </c>
      <c r="E341" s="1" t="s">
        <v>119</v>
      </c>
      <c r="F341" s="1">
        <v>6030000100</v>
      </c>
      <c r="G341" s="1" t="s">
        <v>120</v>
      </c>
      <c r="H341" t="str">
        <f>VLOOKUP(F341,Blad3!$1:$1048576,3,FALSE)</f>
        <v>60310100</v>
      </c>
      <c r="I341" s="13">
        <v>0.06</v>
      </c>
    </row>
    <row r="342" spans="1:9" x14ac:dyDescent="0.25">
      <c r="A342" s="1">
        <v>10</v>
      </c>
      <c r="B342" s="1" t="s">
        <v>256</v>
      </c>
      <c r="C342" s="1" t="s">
        <v>283</v>
      </c>
      <c r="D342" s="1" t="s">
        <v>286</v>
      </c>
      <c r="E342" s="1" t="s">
        <v>263</v>
      </c>
      <c r="F342" s="1">
        <v>6161000300</v>
      </c>
      <c r="G342" s="1" t="s">
        <v>264</v>
      </c>
      <c r="H342" t="str">
        <f>VLOOKUP(F342,Blad3!$1:$1048576,3,FALSE)</f>
        <v>61613000</v>
      </c>
      <c r="I342" s="13">
        <v>0.06</v>
      </c>
    </row>
    <row r="343" spans="1:9" x14ac:dyDescent="0.25">
      <c r="A343" s="1">
        <v>10</v>
      </c>
      <c r="B343" s="1" t="s">
        <v>256</v>
      </c>
      <c r="C343" s="1" t="s">
        <v>257</v>
      </c>
      <c r="D343" s="1" t="s">
        <v>552</v>
      </c>
      <c r="E343" s="1" t="s">
        <v>46</v>
      </c>
      <c r="F343" s="1">
        <v>6146000400</v>
      </c>
      <c r="G343" s="1" t="s">
        <v>47</v>
      </c>
      <c r="H343" t="str">
        <f>VLOOKUP(F343,Blad3!$1:$1048576,3,FALSE)</f>
        <v>61460000</v>
      </c>
      <c r="I343" s="13">
        <v>0.21</v>
      </c>
    </row>
    <row r="344" spans="1:9" x14ac:dyDescent="0.25">
      <c r="A344" s="1">
        <v>10</v>
      </c>
      <c r="B344" s="1" t="s">
        <v>256</v>
      </c>
      <c r="C344" s="1" t="s">
        <v>257</v>
      </c>
      <c r="D344" s="1" t="s">
        <v>554</v>
      </c>
      <c r="E344" s="1" t="s">
        <v>41</v>
      </c>
      <c r="F344" s="1">
        <v>6152000300</v>
      </c>
      <c r="G344" s="1" t="s">
        <v>43</v>
      </c>
      <c r="H344" t="str">
        <f>VLOOKUP(F344,Blad3!$1:$1048576,3,FALSE)</f>
        <v>61530000</v>
      </c>
      <c r="I344" s="13">
        <v>0.21</v>
      </c>
    </row>
    <row r="345" spans="1:9" x14ac:dyDescent="0.25">
      <c r="A345" s="1">
        <v>10</v>
      </c>
      <c r="B345" s="1" t="s">
        <v>256</v>
      </c>
      <c r="C345" s="1" t="s">
        <v>265</v>
      </c>
      <c r="D345" s="1" t="s">
        <v>276</v>
      </c>
      <c r="E345" s="1" t="s">
        <v>41</v>
      </c>
      <c r="F345" s="1">
        <v>6146000300</v>
      </c>
      <c r="G345" s="1" t="s">
        <v>267</v>
      </c>
      <c r="H345" t="str">
        <f>VLOOKUP(F345,Blad3!$1:$1048576,3,FALSE)</f>
        <v>61460000</v>
      </c>
      <c r="I345" s="13">
        <v>0.06</v>
      </c>
    </row>
    <row r="346" spans="1:9" x14ac:dyDescent="0.25">
      <c r="A346" s="1">
        <v>10</v>
      </c>
      <c r="B346" s="1" t="s">
        <v>256</v>
      </c>
      <c r="C346" s="1" t="s">
        <v>556</v>
      </c>
      <c r="D346" s="1" t="s">
        <v>557</v>
      </c>
      <c r="E346" s="1" t="s">
        <v>555</v>
      </c>
      <c r="F346" s="1">
        <v>6430000700</v>
      </c>
      <c r="G346" s="1" t="s">
        <v>558</v>
      </c>
      <c r="H346" t="str">
        <f>VLOOKUP(F346,Blad3!$1:$1048576,3,FALSE)</f>
        <v>64300000</v>
      </c>
      <c r="I346" s="13">
        <v>0</v>
      </c>
    </row>
    <row r="347" spans="1:9" x14ac:dyDescent="0.25">
      <c r="A347" s="1">
        <v>11</v>
      </c>
      <c r="B347" s="1" t="s">
        <v>238</v>
      </c>
      <c r="C347" s="1" t="s">
        <v>242</v>
      </c>
      <c r="D347" s="1" t="s">
        <v>240</v>
      </c>
      <c r="E347" s="1" t="s">
        <v>241</v>
      </c>
      <c r="F347" s="1">
        <v>6030000150</v>
      </c>
      <c r="G347" s="1" t="s">
        <v>243</v>
      </c>
      <c r="H347" t="str">
        <f>VLOOKUP(F347,Blad3!$1:$1048576,3,FALSE)</f>
        <v>60310150</v>
      </c>
      <c r="I347" s="13">
        <v>0.06</v>
      </c>
    </row>
    <row r="348" spans="1:9" x14ac:dyDescent="0.25">
      <c r="A348" s="1">
        <v>11</v>
      </c>
      <c r="B348" s="1" t="s">
        <v>238</v>
      </c>
      <c r="C348" s="1" t="s">
        <v>242</v>
      </c>
      <c r="D348" s="1" t="s">
        <v>240</v>
      </c>
      <c r="E348" s="1" t="s">
        <v>108</v>
      </c>
      <c r="F348" s="1">
        <v>6030000200</v>
      </c>
      <c r="G348" s="1" t="s">
        <v>109</v>
      </c>
      <c r="H348" t="str">
        <f>VLOOKUP(F348,Blad3!$1:$1048576,3,FALSE)</f>
        <v>60320000</v>
      </c>
      <c r="I348" s="13">
        <v>0.06</v>
      </c>
    </row>
    <row r="349" spans="1:9" x14ac:dyDescent="0.25">
      <c r="A349" s="1">
        <v>11</v>
      </c>
      <c r="B349" s="1" t="s">
        <v>238</v>
      </c>
      <c r="C349" s="1" t="s">
        <v>242</v>
      </c>
      <c r="D349" s="1" t="s">
        <v>245</v>
      </c>
      <c r="E349" s="1" t="s">
        <v>170</v>
      </c>
      <c r="F349" s="1">
        <v>6161000100</v>
      </c>
      <c r="G349" s="1" t="s">
        <v>246</v>
      </c>
      <c r="H349" t="str">
        <f>VLOOKUP(F349,Blad3!$1:$1048576,3,FALSE)</f>
        <v>61611000</v>
      </c>
      <c r="I349" s="13">
        <v>0</v>
      </c>
    </row>
    <row r="350" spans="1:9" x14ac:dyDescent="0.25">
      <c r="A350" s="1">
        <v>11</v>
      </c>
      <c r="B350" s="1" t="s">
        <v>238</v>
      </c>
      <c r="C350" s="1" t="s">
        <v>242</v>
      </c>
      <c r="D350" s="1" t="s">
        <v>245</v>
      </c>
      <c r="E350" s="1" t="s">
        <v>241</v>
      </c>
      <c r="F350" s="1">
        <v>6030000150</v>
      </c>
      <c r="G350" s="1" t="s">
        <v>243</v>
      </c>
      <c r="H350" t="str">
        <f>VLOOKUP(F350,Blad3!$1:$1048576,3,FALSE)</f>
        <v>60310150</v>
      </c>
      <c r="I350" s="13">
        <v>0</v>
      </c>
    </row>
    <row r="351" spans="1:9" x14ac:dyDescent="0.25">
      <c r="A351" s="1">
        <v>11</v>
      </c>
      <c r="B351" s="1" t="s">
        <v>238</v>
      </c>
      <c r="C351" s="1" t="s">
        <v>242</v>
      </c>
      <c r="D351" s="1" t="s">
        <v>245</v>
      </c>
      <c r="E351" s="1" t="s">
        <v>108</v>
      </c>
      <c r="F351" s="1">
        <v>6030000200</v>
      </c>
      <c r="G351" s="1" t="s">
        <v>109</v>
      </c>
      <c r="H351" t="str">
        <f>VLOOKUP(F351,Blad3!$1:$1048576,3,FALSE)</f>
        <v>60320000</v>
      </c>
      <c r="I351" s="13">
        <v>0</v>
      </c>
    </row>
    <row r="352" spans="1:9" x14ac:dyDescent="0.25">
      <c r="A352" s="1">
        <v>11</v>
      </c>
      <c r="B352" s="1" t="s">
        <v>238</v>
      </c>
      <c r="C352" s="1" t="s">
        <v>242</v>
      </c>
      <c r="D352" s="1" t="s">
        <v>249</v>
      </c>
      <c r="E352" s="1" t="s">
        <v>241</v>
      </c>
      <c r="F352" s="1">
        <v>6030000150</v>
      </c>
      <c r="G352" s="1" t="s">
        <v>243</v>
      </c>
      <c r="H352" t="str">
        <f>VLOOKUP(F352,Blad3!$1:$1048576,3,FALSE)</f>
        <v>60310150</v>
      </c>
      <c r="I352" s="13">
        <v>0</v>
      </c>
    </row>
    <row r="353" spans="1:9" x14ac:dyDescent="0.25">
      <c r="A353" s="1">
        <v>11</v>
      </c>
      <c r="B353" s="1" t="s">
        <v>238</v>
      </c>
      <c r="C353" s="1" t="s">
        <v>242</v>
      </c>
      <c r="D353" s="1" t="s">
        <v>249</v>
      </c>
      <c r="E353" s="1" t="s">
        <v>170</v>
      </c>
      <c r="F353" s="1">
        <v>6161000100</v>
      </c>
      <c r="G353" s="1" t="s">
        <v>246</v>
      </c>
      <c r="H353" t="str">
        <f>VLOOKUP(F353,Blad3!$1:$1048576,3,FALSE)</f>
        <v>61611000</v>
      </c>
      <c r="I353" s="13">
        <v>0</v>
      </c>
    </row>
    <row r="354" spans="1:9" x14ac:dyDescent="0.25">
      <c r="A354" s="1">
        <v>11</v>
      </c>
      <c r="B354" s="1" t="s">
        <v>238</v>
      </c>
      <c r="C354" s="1" t="s">
        <v>242</v>
      </c>
      <c r="D354" s="1" t="s">
        <v>249</v>
      </c>
      <c r="E354" s="1" t="s">
        <v>108</v>
      </c>
      <c r="F354" s="1">
        <v>6030000200</v>
      </c>
      <c r="G354" s="1" t="s">
        <v>109</v>
      </c>
      <c r="H354" t="str">
        <f>VLOOKUP(F354,Blad3!$1:$1048576,3,FALSE)</f>
        <v>60320000</v>
      </c>
      <c r="I354" s="13">
        <v>0</v>
      </c>
    </row>
    <row r="355" spans="1:9" x14ac:dyDescent="0.25">
      <c r="A355" s="1">
        <v>11</v>
      </c>
      <c r="B355" s="1" t="s">
        <v>238</v>
      </c>
      <c r="C355" s="1" t="s">
        <v>242</v>
      </c>
      <c r="D355" s="1" t="s">
        <v>251</v>
      </c>
      <c r="E355" s="1" t="s">
        <v>241</v>
      </c>
      <c r="F355" s="1">
        <v>6030000150</v>
      </c>
      <c r="G355" s="1" t="s">
        <v>243</v>
      </c>
      <c r="H355" t="str">
        <f>VLOOKUP(F355,Blad3!$1:$1048576,3,FALSE)</f>
        <v>60310150</v>
      </c>
      <c r="I355" s="13">
        <v>0</v>
      </c>
    </row>
    <row r="356" spans="1:9" x14ac:dyDescent="0.25">
      <c r="A356" s="1">
        <v>11</v>
      </c>
      <c r="B356" s="1" t="s">
        <v>238</v>
      </c>
      <c r="C356" s="1" t="s">
        <v>242</v>
      </c>
      <c r="D356" s="1" t="s">
        <v>251</v>
      </c>
      <c r="E356" s="1" t="s">
        <v>170</v>
      </c>
      <c r="F356" s="1">
        <v>6161000100</v>
      </c>
      <c r="G356" s="1" t="s">
        <v>246</v>
      </c>
      <c r="H356" t="str">
        <f>VLOOKUP(F356,Blad3!$1:$1048576,3,FALSE)</f>
        <v>61611000</v>
      </c>
      <c r="I356" s="13">
        <v>0</v>
      </c>
    </row>
    <row r="357" spans="1:9" x14ac:dyDescent="0.25">
      <c r="A357" s="1">
        <v>11</v>
      </c>
      <c r="B357" s="1" t="s">
        <v>238</v>
      </c>
      <c r="C357" s="1" t="s">
        <v>242</v>
      </c>
      <c r="D357" s="1" t="s">
        <v>251</v>
      </c>
      <c r="E357" s="1" t="s">
        <v>108</v>
      </c>
      <c r="F357" s="1">
        <v>6030000200</v>
      </c>
      <c r="G357" s="1" t="s">
        <v>109</v>
      </c>
      <c r="H357" t="str">
        <f>VLOOKUP(F357,Blad3!$1:$1048576,3,FALSE)</f>
        <v>60320000</v>
      </c>
      <c r="I357" s="13">
        <v>0</v>
      </c>
    </row>
    <row r="358" spans="1:9" x14ac:dyDescent="0.25">
      <c r="A358" s="1">
        <v>11</v>
      </c>
      <c r="B358" s="1" t="s">
        <v>238</v>
      </c>
      <c r="C358" s="1" t="s">
        <v>242</v>
      </c>
      <c r="D358" s="1" t="s">
        <v>253</v>
      </c>
      <c r="E358" s="1" t="s">
        <v>170</v>
      </c>
      <c r="F358" s="1">
        <v>6161000100</v>
      </c>
      <c r="G358" s="1" t="s">
        <v>246</v>
      </c>
      <c r="H358" t="str">
        <f>VLOOKUP(F358,Blad3!$1:$1048576,3,FALSE)</f>
        <v>61611000</v>
      </c>
      <c r="I358" s="13">
        <v>0.06</v>
      </c>
    </row>
    <row r="359" spans="1:9" x14ac:dyDescent="0.25">
      <c r="A359" s="1">
        <v>11</v>
      </c>
      <c r="B359" s="1" t="s">
        <v>238</v>
      </c>
      <c r="C359" s="1" t="s">
        <v>242</v>
      </c>
      <c r="D359" s="1" t="s">
        <v>253</v>
      </c>
      <c r="E359" s="1" t="s">
        <v>119</v>
      </c>
      <c r="F359" s="1">
        <v>6030000100</v>
      </c>
      <c r="G359" s="1" t="s">
        <v>120</v>
      </c>
      <c r="H359" t="str">
        <f>VLOOKUP(F359,Blad3!$1:$1048576,3,FALSE)</f>
        <v>60310100</v>
      </c>
      <c r="I359" s="13">
        <v>0.06</v>
      </c>
    </row>
    <row r="360" spans="1:9" x14ac:dyDescent="0.25">
      <c r="A360" s="1">
        <v>11</v>
      </c>
      <c r="B360" s="1" t="s">
        <v>238</v>
      </c>
      <c r="C360" s="1" t="s">
        <v>242</v>
      </c>
      <c r="D360" s="1" t="s">
        <v>253</v>
      </c>
      <c r="E360" s="1" t="s">
        <v>108</v>
      </c>
      <c r="F360" s="1">
        <v>6030000200</v>
      </c>
      <c r="G360" s="1" t="s">
        <v>109</v>
      </c>
      <c r="H360" t="str">
        <f>VLOOKUP(F360,Blad3!$1:$1048576,3,FALSE)</f>
        <v>60320000</v>
      </c>
      <c r="I360" s="13">
        <v>0.06</v>
      </c>
    </row>
    <row r="361" spans="1:9" x14ac:dyDescent="0.25">
      <c r="A361" s="1">
        <v>11</v>
      </c>
      <c r="B361" s="1" t="s">
        <v>238</v>
      </c>
      <c r="C361" s="1" t="s">
        <v>242</v>
      </c>
      <c r="D361" s="1" t="s">
        <v>255</v>
      </c>
      <c r="E361" s="1" t="s">
        <v>170</v>
      </c>
      <c r="F361" s="1">
        <v>6161000100</v>
      </c>
      <c r="G361" s="1" t="s">
        <v>246</v>
      </c>
      <c r="H361" t="str">
        <f>VLOOKUP(F361,Blad3!$1:$1048576,3,FALSE)</f>
        <v>61611000</v>
      </c>
      <c r="I361" s="13">
        <v>0</v>
      </c>
    </row>
    <row r="362" spans="1:9" x14ac:dyDescent="0.25">
      <c r="A362" s="1">
        <v>11</v>
      </c>
      <c r="B362" s="1" t="s">
        <v>238</v>
      </c>
      <c r="C362" s="1" t="s">
        <v>242</v>
      </c>
      <c r="D362" s="1" t="s">
        <v>255</v>
      </c>
      <c r="E362" s="1" t="s">
        <v>119</v>
      </c>
      <c r="F362" s="1">
        <v>6030000100</v>
      </c>
      <c r="G362" s="1" t="s">
        <v>120</v>
      </c>
      <c r="H362" t="str">
        <f>VLOOKUP(F362,Blad3!$1:$1048576,3,FALSE)</f>
        <v>60310100</v>
      </c>
      <c r="I362" s="13">
        <v>0</v>
      </c>
    </row>
    <row r="363" spans="1:9" x14ac:dyDescent="0.25">
      <c r="A363" s="1">
        <v>11</v>
      </c>
      <c r="B363" s="1" t="s">
        <v>238</v>
      </c>
      <c r="C363" s="1" t="s">
        <v>242</v>
      </c>
      <c r="D363" s="1" t="s">
        <v>255</v>
      </c>
      <c r="E363" s="1" t="s">
        <v>108</v>
      </c>
      <c r="F363" s="1">
        <v>6030000200</v>
      </c>
      <c r="G363" s="1" t="s">
        <v>109</v>
      </c>
      <c r="H363" t="str">
        <f>VLOOKUP(F363,Blad3!$1:$1048576,3,FALSE)</f>
        <v>60320000</v>
      </c>
      <c r="I363" s="13">
        <v>0</v>
      </c>
    </row>
    <row r="364" spans="1:9" x14ac:dyDescent="0.25">
      <c r="A364" s="1">
        <v>11</v>
      </c>
      <c r="B364" s="1" t="s">
        <v>238</v>
      </c>
      <c r="C364" s="1" t="s">
        <v>242</v>
      </c>
      <c r="D364" s="1" t="s">
        <v>297</v>
      </c>
      <c r="E364" s="1" t="s">
        <v>170</v>
      </c>
      <c r="F364" s="1">
        <v>6161000100</v>
      </c>
      <c r="G364" s="1" t="s">
        <v>246</v>
      </c>
      <c r="H364" t="str">
        <f>VLOOKUP(F364,Blad3!$1:$1048576,3,FALSE)</f>
        <v>61611000</v>
      </c>
      <c r="I364" s="13">
        <v>0.21</v>
      </c>
    </row>
    <row r="365" spans="1:9" x14ac:dyDescent="0.25">
      <c r="A365" s="1">
        <v>11</v>
      </c>
      <c r="B365" s="1" t="s">
        <v>238</v>
      </c>
      <c r="C365" s="1" t="s">
        <v>242</v>
      </c>
      <c r="D365" s="1" t="s">
        <v>297</v>
      </c>
      <c r="E365" s="1" t="s">
        <v>119</v>
      </c>
      <c r="F365" s="1">
        <v>6030000100</v>
      </c>
      <c r="G365" s="1" t="s">
        <v>120</v>
      </c>
      <c r="H365" t="str">
        <f>VLOOKUP(F365,Blad3!$1:$1048576,3,FALSE)</f>
        <v>60310100</v>
      </c>
      <c r="I365" s="13">
        <v>0.21</v>
      </c>
    </row>
    <row r="366" spans="1:9" x14ac:dyDescent="0.25">
      <c r="A366" s="1">
        <v>11</v>
      </c>
      <c r="B366" s="1" t="s">
        <v>238</v>
      </c>
      <c r="C366" s="1" t="s">
        <v>242</v>
      </c>
      <c r="D366" s="1" t="s">
        <v>297</v>
      </c>
      <c r="E366" s="1" t="s">
        <v>108</v>
      </c>
      <c r="F366" s="1">
        <v>6030000200</v>
      </c>
      <c r="G366" s="1" t="s">
        <v>109</v>
      </c>
      <c r="H366" t="str">
        <f>VLOOKUP(F366,Blad3!$1:$1048576,3,FALSE)</f>
        <v>60320000</v>
      </c>
      <c r="I366" s="13">
        <v>0.21</v>
      </c>
    </row>
    <row r="367" spans="1:9" x14ac:dyDescent="0.25">
      <c r="A367" s="1">
        <v>11</v>
      </c>
      <c r="B367" s="1" t="s">
        <v>238</v>
      </c>
      <c r="C367" s="1" t="s">
        <v>242</v>
      </c>
      <c r="D367" s="1" t="s">
        <v>299</v>
      </c>
      <c r="E367" s="1" t="s">
        <v>170</v>
      </c>
      <c r="F367" s="1">
        <v>6161000100</v>
      </c>
      <c r="G367" s="1" t="s">
        <v>246</v>
      </c>
      <c r="H367" t="str">
        <f>VLOOKUP(F367,Blad3!$1:$1048576,3,FALSE)</f>
        <v>61611000</v>
      </c>
      <c r="I367" s="13">
        <v>0</v>
      </c>
    </row>
    <row r="368" spans="1:9" x14ac:dyDescent="0.25">
      <c r="A368" s="1">
        <v>11</v>
      </c>
      <c r="B368" s="1" t="s">
        <v>238</v>
      </c>
      <c r="C368" s="1" t="s">
        <v>242</v>
      </c>
      <c r="D368" s="1" t="s">
        <v>299</v>
      </c>
      <c r="E368" s="1" t="s">
        <v>108</v>
      </c>
      <c r="F368" s="1">
        <v>6030000200</v>
      </c>
      <c r="G368" s="1" t="s">
        <v>109</v>
      </c>
      <c r="H368" t="str">
        <f>VLOOKUP(F368,Blad3!$1:$1048576,3,FALSE)</f>
        <v>60320000</v>
      </c>
      <c r="I368" s="13">
        <v>0</v>
      </c>
    </row>
    <row r="369" spans="1:9" x14ac:dyDescent="0.25">
      <c r="A369" s="1">
        <v>11</v>
      </c>
      <c r="B369" s="1" t="s">
        <v>238</v>
      </c>
      <c r="C369" s="1" t="s">
        <v>242</v>
      </c>
      <c r="D369" s="1" t="s">
        <v>301</v>
      </c>
      <c r="E369" s="1" t="s">
        <v>170</v>
      </c>
      <c r="F369" s="1">
        <v>6161000100</v>
      </c>
      <c r="G369" s="1" t="s">
        <v>246</v>
      </c>
      <c r="H369" t="str">
        <f>VLOOKUP(F369,Blad3!$1:$1048576,3,FALSE)</f>
        <v>61611000</v>
      </c>
      <c r="I369" s="77">
        <v>0.06</v>
      </c>
    </row>
    <row r="370" spans="1:9" x14ac:dyDescent="0.25">
      <c r="A370" s="1">
        <v>11</v>
      </c>
      <c r="B370" s="1" t="s">
        <v>238</v>
      </c>
      <c r="C370" s="1" t="s">
        <v>242</v>
      </c>
      <c r="D370" s="1" t="s">
        <v>301</v>
      </c>
      <c r="E370" s="1" t="s">
        <v>119</v>
      </c>
      <c r="F370" s="1">
        <v>6030000100</v>
      </c>
      <c r="G370" s="1" t="s">
        <v>120</v>
      </c>
      <c r="H370" t="str">
        <f>VLOOKUP(F370,Blad3!$1:$1048576,3,FALSE)</f>
        <v>60310100</v>
      </c>
      <c r="I370" s="13">
        <v>0.06</v>
      </c>
    </row>
    <row r="371" spans="1:9" x14ac:dyDescent="0.25">
      <c r="A371" s="1">
        <v>11</v>
      </c>
      <c r="B371" s="1" t="s">
        <v>238</v>
      </c>
      <c r="C371" s="1" t="s">
        <v>242</v>
      </c>
      <c r="D371" s="1" t="s">
        <v>301</v>
      </c>
      <c r="E371" s="1" t="s">
        <v>108</v>
      </c>
      <c r="F371" s="1">
        <v>6030000200</v>
      </c>
      <c r="G371" s="1" t="s">
        <v>109</v>
      </c>
      <c r="H371" t="str">
        <f>VLOOKUP(F371,Blad3!$1:$1048576,3,FALSE)</f>
        <v>60320000</v>
      </c>
      <c r="I371" s="13">
        <v>0.06</v>
      </c>
    </row>
    <row r="372" spans="1:9" x14ac:dyDescent="0.25">
      <c r="A372" s="1">
        <v>11</v>
      </c>
      <c r="B372" s="1" t="s">
        <v>238</v>
      </c>
      <c r="C372" s="1" t="s">
        <v>242</v>
      </c>
      <c r="D372" s="1" t="s">
        <v>303</v>
      </c>
      <c r="E372" s="1" t="s">
        <v>170</v>
      </c>
      <c r="F372" s="1">
        <v>6161000100</v>
      </c>
      <c r="G372" s="1" t="s">
        <v>246</v>
      </c>
      <c r="H372" t="str">
        <f>VLOOKUP(F372,Blad3!$1:$1048576,3,FALSE)</f>
        <v>61611000</v>
      </c>
      <c r="I372" s="13">
        <v>0</v>
      </c>
    </row>
    <row r="373" spans="1:9" x14ac:dyDescent="0.25">
      <c r="A373" s="1">
        <v>11</v>
      </c>
      <c r="B373" s="1" t="s">
        <v>238</v>
      </c>
      <c r="C373" s="1" t="s">
        <v>242</v>
      </c>
      <c r="D373" s="1" t="s">
        <v>303</v>
      </c>
      <c r="E373" s="1" t="s">
        <v>119</v>
      </c>
      <c r="F373" s="1">
        <v>6030000100</v>
      </c>
      <c r="G373" s="1" t="s">
        <v>120</v>
      </c>
      <c r="H373" t="str">
        <f>VLOOKUP(F373,Blad3!$1:$1048576,3,FALSE)</f>
        <v>60310100</v>
      </c>
      <c r="I373" s="13">
        <v>0</v>
      </c>
    </row>
    <row r="374" spans="1:9" x14ac:dyDescent="0.25">
      <c r="A374" s="1">
        <v>11</v>
      </c>
      <c r="B374" s="1" t="s">
        <v>238</v>
      </c>
      <c r="C374" s="1" t="s">
        <v>242</v>
      </c>
      <c r="D374" s="1" t="s">
        <v>303</v>
      </c>
      <c r="E374" s="1" t="s">
        <v>108</v>
      </c>
      <c r="F374" s="1">
        <v>6030000200</v>
      </c>
      <c r="G374" s="1" t="s">
        <v>109</v>
      </c>
      <c r="H374" t="str">
        <f>VLOOKUP(F374,Blad3!$1:$1048576,3,FALSE)</f>
        <v>60320000</v>
      </c>
      <c r="I374" s="13">
        <v>0</v>
      </c>
    </row>
    <row r="375" spans="1:9" x14ac:dyDescent="0.25">
      <c r="A375" s="1">
        <v>11</v>
      </c>
      <c r="B375" s="1" t="s">
        <v>238</v>
      </c>
      <c r="C375" s="1" t="s">
        <v>242</v>
      </c>
      <c r="D375" s="1" t="s">
        <v>303</v>
      </c>
      <c r="E375" s="1" t="s">
        <v>119</v>
      </c>
      <c r="F375" s="1">
        <v>6030000100</v>
      </c>
      <c r="G375" s="1" t="s">
        <v>120</v>
      </c>
      <c r="H375" t="str">
        <f>VLOOKUP(F375,Blad3!$1:$1048576,3,FALSE)</f>
        <v>60310100</v>
      </c>
      <c r="I375" s="13">
        <v>0</v>
      </c>
    </row>
    <row r="376" spans="1:9" x14ac:dyDescent="0.25">
      <c r="A376" s="1">
        <v>11</v>
      </c>
      <c r="B376" s="1" t="s">
        <v>238</v>
      </c>
      <c r="C376" s="1" t="s">
        <v>242</v>
      </c>
      <c r="D376" s="1" t="s">
        <v>304</v>
      </c>
      <c r="E376" s="1" t="s">
        <v>170</v>
      </c>
      <c r="F376" s="1">
        <v>6161000100</v>
      </c>
      <c r="G376" s="1" t="s">
        <v>246</v>
      </c>
      <c r="H376" t="str">
        <f>VLOOKUP(F376,Blad3!$1:$1048576,3,FALSE)</f>
        <v>61611000</v>
      </c>
      <c r="I376" s="13">
        <v>0</v>
      </c>
    </row>
    <row r="377" spans="1:9" x14ac:dyDescent="0.25">
      <c r="A377" s="1">
        <v>11</v>
      </c>
      <c r="B377" s="1" t="s">
        <v>238</v>
      </c>
      <c r="C377" s="1" t="s">
        <v>242</v>
      </c>
      <c r="D377" s="1" t="s">
        <v>304</v>
      </c>
      <c r="E377" s="1" t="s">
        <v>170</v>
      </c>
      <c r="F377" s="1">
        <v>6030000100</v>
      </c>
      <c r="G377" s="1" t="s">
        <v>120</v>
      </c>
      <c r="H377" t="str">
        <f>VLOOKUP(F377,Blad3!$1:$1048576,3,FALSE)</f>
        <v>60310100</v>
      </c>
      <c r="I377" s="13">
        <v>0</v>
      </c>
    </row>
    <row r="378" spans="1:9" x14ac:dyDescent="0.25">
      <c r="A378" s="1">
        <v>11</v>
      </c>
      <c r="B378" s="1" t="s">
        <v>238</v>
      </c>
      <c r="C378" s="1" t="s">
        <v>242</v>
      </c>
      <c r="D378" s="1" t="s">
        <v>306</v>
      </c>
      <c r="E378" s="1" t="s">
        <v>170</v>
      </c>
      <c r="F378" s="1">
        <v>6161000100</v>
      </c>
      <c r="G378" s="1" t="s">
        <v>246</v>
      </c>
      <c r="H378" t="str">
        <f>VLOOKUP(F378,Blad3!$1:$1048576,3,FALSE)</f>
        <v>61611000</v>
      </c>
      <c r="I378" s="13">
        <v>0.12</v>
      </c>
    </row>
    <row r="379" spans="1:9" x14ac:dyDescent="0.25">
      <c r="A379" s="1">
        <v>11</v>
      </c>
      <c r="B379" s="1" t="s">
        <v>238</v>
      </c>
      <c r="C379" s="1" t="s">
        <v>242</v>
      </c>
      <c r="D379" s="1" t="s">
        <v>306</v>
      </c>
      <c r="E379" s="1" t="s">
        <v>108</v>
      </c>
      <c r="F379" s="1">
        <v>6030000200</v>
      </c>
      <c r="G379" s="1" t="s">
        <v>109</v>
      </c>
      <c r="H379" t="str">
        <f>VLOOKUP(F379,Blad3!$1:$1048576,3,FALSE)</f>
        <v>60320000</v>
      </c>
      <c r="I379" s="13">
        <v>0.12</v>
      </c>
    </row>
    <row r="380" spans="1:9" x14ac:dyDescent="0.25">
      <c r="A380" s="1">
        <v>11</v>
      </c>
      <c r="B380" s="1" t="s">
        <v>238</v>
      </c>
      <c r="C380" s="1" t="s">
        <v>242</v>
      </c>
      <c r="D380" s="1" t="s">
        <v>306</v>
      </c>
      <c r="E380" s="1" t="s">
        <v>241</v>
      </c>
      <c r="F380" s="1">
        <v>6030000150</v>
      </c>
      <c r="G380" s="1" t="s">
        <v>243</v>
      </c>
      <c r="H380" t="str">
        <f>VLOOKUP(F380,Blad3!$1:$1048576,3,FALSE)</f>
        <v>60310150</v>
      </c>
      <c r="I380" s="13">
        <v>0.12</v>
      </c>
    </row>
    <row r="381" spans="1:9" x14ac:dyDescent="0.25">
      <c r="A381" s="1">
        <v>11</v>
      </c>
      <c r="B381" s="1" t="s">
        <v>238</v>
      </c>
      <c r="C381" s="1" t="s">
        <v>242</v>
      </c>
      <c r="D381" s="1" t="s">
        <v>310</v>
      </c>
      <c r="E381" s="1" t="s">
        <v>170</v>
      </c>
      <c r="F381" s="1">
        <v>6161000100</v>
      </c>
      <c r="G381" s="1" t="s">
        <v>246</v>
      </c>
      <c r="H381" t="str">
        <f>VLOOKUP(F381,Blad3!$1:$1048576,3,FALSE)</f>
        <v>61611000</v>
      </c>
      <c r="I381" s="13">
        <v>0</v>
      </c>
    </row>
    <row r="382" spans="1:9" x14ac:dyDescent="0.25">
      <c r="A382" s="1">
        <v>11</v>
      </c>
      <c r="B382" s="1" t="s">
        <v>238</v>
      </c>
      <c r="C382" s="1" t="s">
        <v>242</v>
      </c>
      <c r="D382" s="1" t="s">
        <v>310</v>
      </c>
      <c r="E382" s="1" t="s">
        <v>108</v>
      </c>
      <c r="F382" s="1">
        <v>6030000200</v>
      </c>
      <c r="G382" s="1" t="s">
        <v>109</v>
      </c>
      <c r="H382" t="str">
        <f>VLOOKUP(F382,Blad3!$1:$1048576,3,FALSE)</f>
        <v>60320000</v>
      </c>
      <c r="I382" s="13">
        <v>0</v>
      </c>
    </row>
    <row r="383" spans="1:9" x14ac:dyDescent="0.25">
      <c r="A383" s="1">
        <v>11</v>
      </c>
      <c r="B383" s="1" t="s">
        <v>238</v>
      </c>
      <c r="C383" s="1" t="s">
        <v>242</v>
      </c>
      <c r="D383" s="1" t="s">
        <v>306</v>
      </c>
      <c r="E383" s="1" t="s">
        <v>241</v>
      </c>
      <c r="F383" s="1">
        <v>6030000150</v>
      </c>
      <c r="G383" s="1" t="s">
        <v>243</v>
      </c>
      <c r="H383" t="str">
        <f>VLOOKUP(F383,Blad3!$1:$1048576,3,FALSE)</f>
        <v>60310150</v>
      </c>
      <c r="I383" s="13">
        <v>0</v>
      </c>
    </row>
    <row r="384" spans="1:9" x14ac:dyDescent="0.25">
      <c r="A384" s="1">
        <v>11</v>
      </c>
      <c r="B384" s="1" t="s">
        <v>238</v>
      </c>
      <c r="C384" s="1" t="s">
        <v>242</v>
      </c>
      <c r="D384" s="1" t="s">
        <v>312</v>
      </c>
      <c r="E384" s="1" t="s">
        <v>170</v>
      </c>
      <c r="F384" s="1">
        <v>6161000100</v>
      </c>
      <c r="G384" s="1" t="s">
        <v>246</v>
      </c>
      <c r="H384" t="str">
        <f>VLOOKUP(F384,Blad3!$1:$1048576,3,FALSE)</f>
        <v>61611000</v>
      </c>
      <c r="I384" s="13">
        <v>0.21</v>
      </c>
    </row>
    <row r="385" spans="1:9" x14ac:dyDescent="0.25">
      <c r="A385" s="1">
        <v>11</v>
      </c>
      <c r="B385" s="1" t="s">
        <v>238</v>
      </c>
      <c r="C385" s="1" t="s">
        <v>242</v>
      </c>
      <c r="D385" s="1" t="s">
        <v>312</v>
      </c>
      <c r="E385" s="1" t="s">
        <v>241</v>
      </c>
      <c r="F385" s="1">
        <v>6030000150</v>
      </c>
      <c r="G385" s="1" t="s">
        <v>243</v>
      </c>
      <c r="H385" t="str">
        <f>VLOOKUP(F385,Blad3!$1:$1048576,3,FALSE)</f>
        <v>60310150</v>
      </c>
      <c r="I385" s="77">
        <v>0.06</v>
      </c>
    </row>
    <row r="386" spans="1:9" x14ac:dyDescent="0.25">
      <c r="A386" s="1">
        <v>11</v>
      </c>
      <c r="B386" s="1" t="s">
        <v>238</v>
      </c>
      <c r="C386" s="1" t="s">
        <v>242</v>
      </c>
      <c r="D386" s="1" t="s">
        <v>312</v>
      </c>
      <c r="E386" s="1" t="s">
        <v>108</v>
      </c>
      <c r="F386" s="1">
        <v>6030000200</v>
      </c>
      <c r="G386" s="1" t="s">
        <v>109</v>
      </c>
      <c r="H386" t="str">
        <f>VLOOKUP(F386,Blad3!$1:$1048576,3,FALSE)</f>
        <v>60320000</v>
      </c>
      <c r="I386" s="13">
        <v>0.21</v>
      </c>
    </row>
    <row r="387" spans="1:9" x14ac:dyDescent="0.25">
      <c r="A387" s="1">
        <v>11</v>
      </c>
      <c r="B387" s="1" t="s">
        <v>238</v>
      </c>
      <c r="C387" s="1" t="s">
        <v>242</v>
      </c>
      <c r="D387" s="1" t="s">
        <v>314</v>
      </c>
      <c r="E387" s="1" t="s">
        <v>170</v>
      </c>
      <c r="F387" s="1">
        <v>6161000100</v>
      </c>
      <c r="G387" s="1" t="s">
        <v>246</v>
      </c>
      <c r="H387" t="str">
        <f>VLOOKUP(F387,Blad3!$1:$1048576,3,FALSE)</f>
        <v>61611000</v>
      </c>
      <c r="I387" s="13">
        <v>0</v>
      </c>
    </row>
    <row r="388" spans="1:9" x14ac:dyDescent="0.25">
      <c r="A388" s="1">
        <v>11</v>
      </c>
      <c r="B388" s="1" t="s">
        <v>238</v>
      </c>
      <c r="C388" s="1" t="s">
        <v>242</v>
      </c>
      <c r="D388" s="1" t="s">
        <v>314</v>
      </c>
      <c r="E388" s="1" t="s">
        <v>241</v>
      </c>
      <c r="F388" s="1">
        <v>6030000150</v>
      </c>
      <c r="G388" s="1" t="s">
        <v>243</v>
      </c>
      <c r="H388" t="str">
        <f>VLOOKUP(F388,Blad3!$1:$1048576,3,FALSE)</f>
        <v>60310150</v>
      </c>
      <c r="I388" s="13">
        <v>0</v>
      </c>
    </row>
    <row r="389" spans="1:9" x14ac:dyDescent="0.25">
      <c r="A389" s="1">
        <v>11</v>
      </c>
      <c r="B389" s="1" t="s">
        <v>238</v>
      </c>
      <c r="C389" s="1" t="s">
        <v>242</v>
      </c>
      <c r="D389" s="1" t="s">
        <v>314</v>
      </c>
      <c r="E389" s="1" t="s">
        <v>108</v>
      </c>
      <c r="F389" s="1">
        <v>6030000200</v>
      </c>
      <c r="G389" s="1" t="s">
        <v>109</v>
      </c>
      <c r="H389" t="str">
        <f>VLOOKUP(F389,Blad3!$1:$1048576,3,FALSE)</f>
        <v>60320000</v>
      </c>
      <c r="I389" s="13">
        <v>0</v>
      </c>
    </row>
    <row r="390" spans="1:9" x14ac:dyDescent="0.25">
      <c r="A390" s="1">
        <v>11</v>
      </c>
      <c r="B390" s="1" t="s">
        <v>238</v>
      </c>
      <c r="C390" s="1" t="s">
        <v>242</v>
      </c>
      <c r="D390" s="1" t="s">
        <v>316</v>
      </c>
      <c r="E390" s="1" t="s">
        <v>170</v>
      </c>
      <c r="F390" s="1">
        <v>6161000100</v>
      </c>
      <c r="G390" s="1" t="s">
        <v>246</v>
      </c>
      <c r="H390" t="str">
        <f>VLOOKUP(F390,Blad3!$1:$1048576,3,FALSE)</f>
        <v>61611000</v>
      </c>
      <c r="I390" s="13">
        <v>0.06</v>
      </c>
    </row>
    <row r="391" spans="1:9" x14ac:dyDescent="0.25">
      <c r="A391" s="1">
        <v>11</v>
      </c>
      <c r="B391" s="1" t="s">
        <v>238</v>
      </c>
      <c r="C391" s="1" t="s">
        <v>242</v>
      </c>
      <c r="D391" s="1" t="s">
        <v>316</v>
      </c>
      <c r="E391" s="1" t="s">
        <v>241</v>
      </c>
      <c r="F391" s="1">
        <v>6030000150</v>
      </c>
      <c r="G391" s="1" t="s">
        <v>243</v>
      </c>
      <c r="H391" t="str">
        <f>VLOOKUP(F391,Blad3!$1:$1048576,3,FALSE)</f>
        <v>60310150</v>
      </c>
      <c r="I391" s="77">
        <v>0.06</v>
      </c>
    </row>
    <row r="392" spans="1:9" x14ac:dyDescent="0.25">
      <c r="A392" s="1">
        <v>11</v>
      </c>
      <c r="B392" s="1" t="s">
        <v>238</v>
      </c>
      <c r="C392" s="1" t="s">
        <v>242</v>
      </c>
      <c r="D392" s="1" t="s">
        <v>316</v>
      </c>
      <c r="E392" s="1" t="s">
        <v>108</v>
      </c>
      <c r="F392" s="1">
        <v>6030000200</v>
      </c>
      <c r="G392" s="1" t="s">
        <v>109</v>
      </c>
      <c r="H392" t="str">
        <f>VLOOKUP(F392,Blad3!$1:$1048576,3,FALSE)</f>
        <v>60320000</v>
      </c>
      <c r="I392" s="13">
        <v>0.06</v>
      </c>
    </row>
    <row r="393" spans="1:9" x14ac:dyDescent="0.25">
      <c r="A393" s="1">
        <v>11</v>
      </c>
      <c r="B393" s="1" t="s">
        <v>238</v>
      </c>
      <c r="C393" s="1" t="s">
        <v>242</v>
      </c>
      <c r="D393" s="1" t="s">
        <v>318</v>
      </c>
      <c r="E393" s="1" t="s">
        <v>170</v>
      </c>
      <c r="F393" s="1">
        <v>6161000100</v>
      </c>
      <c r="G393" s="1" t="s">
        <v>246</v>
      </c>
      <c r="H393" t="str">
        <f>VLOOKUP(F393,Blad3!$1:$1048576,3,FALSE)</f>
        <v>61611000</v>
      </c>
      <c r="I393" s="13">
        <v>0</v>
      </c>
    </row>
    <row r="394" spans="1:9" x14ac:dyDescent="0.25">
      <c r="A394" s="1">
        <v>11</v>
      </c>
      <c r="B394" s="1" t="s">
        <v>238</v>
      </c>
      <c r="C394" s="1" t="s">
        <v>242</v>
      </c>
      <c r="D394" s="1" t="s">
        <v>318</v>
      </c>
      <c r="E394" s="1" t="s">
        <v>241</v>
      </c>
      <c r="F394" s="1">
        <v>6030000150</v>
      </c>
      <c r="G394" s="1" t="s">
        <v>243</v>
      </c>
      <c r="H394" t="str">
        <f>VLOOKUP(F394,Blad3!$1:$1048576,3,FALSE)</f>
        <v>60310150</v>
      </c>
      <c r="I394" s="77">
        <v>0</v>
      </c>
    </row>
    <row r="395" spans="1:9" x14ac:dyDescent="0.25">
      <c r="A395" s="1">
        <v>11</v>
      </c>
      <c r="B395" s="1" t="s">
        <v>238</v>
      </c>
      <c r="C395" s="1" t="s">
        <v>242</v>
      </c>
      <c r="D395" s="1" t="s">
        <v>318</v>
      </c>
      <c r="E395" s="1" t="s">
        <v>108</v>
      </c>
      <c r="F395" s="1">
        <v>6030000200</v>
      </c>
      <c r="G395" s="1" t="s">
        <v>109</v>
      </c>
      <c r="H395" t="str">
        <f>VLOOKUP(F395,Blad3!$1:$1048576,3,FALSE)</f>
        <v>60320000</v>
      </c>
      <c r="I395" s="13">
        <v>0</v>
      </c>
    </row>
    <row r="396" spans="1:9" x14ac:dyDescent="0.25">
      <c r="A396" s="1">
        <v>11</v>
      </c>
      <c r="B396" s="1" t="s">
        <v>238</v>
      </c>
      <c r="C396" s="1" t="s">
        <v>559</v>
      </c>
      <c r="D396" s="1" t="s">
        <v>560</v>
      </c>
      <c r="E396" s="1" t="s">
        <v>46</v>
      </c>
      <c r="F396" s="1">
        <v>6146000400</v>
      </c>
      <c r="G396" s="1" t="s">
        <v>47</v>
      </c>
      <c r="H396" t="str">
        <f>VLOOKUP(F396,Blad3!$1:$1048576,3,FALSE)</f>
        <v>61460000</v>
      </c>
      <c r="I396" s="13">
        <v>0</v>
      </c>
    </row>
    <row r="397" spans="1:9" x14ac:dyDescent="0.25">
      <c r="A397" s="1">
        <v>11</v>
      </c>
      <c r="B397" s="1" t="s">
        <v>238</v>
      </c>
      <c r="C397" s="1" t="s">
        <v>559</v>
      </c>
      <c r="D397" s="1" t="s">
        <v>561</v>
      </c>
      <c r="E397" s="1" t="s">
        <v>41</v>
      </c>
      <c r="F397" s="1">
        <v>6130000600</v>
      </c>
      <c r="G397" s="1" t="s">
        <v>287</v>
      </c>
      <c r="H397" t="str">
        <f>VLOOKUP(F397,Blad3!$1:$1048576,3,FALSE)</f>
        <v>61310000</v>
      </c>
      <c r="I397" s="13">
        <v>0.21</v>
      </c>
    </row>
    <row r="398" spans="1:9" x14ac:dyDescent="0.25">
      <c r="A398" s="1">
        <v>11</v>
      </c>
      <c r="B398" s="1" t="s">
        <v>238</v>
      </c>
      <c r="C398" s="1" t="s">
        <v>559</v>
      </c>
      <c r="D398" s="1" t="s">
        <v>563</v>
      </c>
      <c r="E398" s="1" t="s">
        <v>41</v>
      </c>
      <c r="F398" s="1">
        <v>6130000600</v>
      </c>
      <c r="G398" s="1" t="s">
        <v>287</v>
      </c>
      <c r="H398" t="str">
        <f>VLOOKUP(F398,Blad3!$1:$1048576,3,FALSE)</f>
        <v>61310000</v>
      </c>
      <c r="I398" s="13">
        <v>0.21</v>
      </c>
    </row>
    <row r="399" spans="1:9" x14ac:dyDescent="0.25">
      <c r="A399" s="1">
        <v>11</v>
      </c>
      <c r="B399" s="1" t="s">
        <v>238</v>
      </c>
      <c r="C399" s="1" t="s">
        <v>559</v>
      </c>
      <c r="D399" s="1" t="s">
        <v>564</v>
      </c>
      <c r="E399" s="1" t="s">
        <v>263</v>
      </c>
      <c r="F399" s="1">
        <v>6161000300</v>
      </c>
      <c r="G399" s="1" t="s">
        <v>264</v>
      </c>
      <c r="H399" t="str">
        <f>VLOOKUP(F399,Blad3!$1:$1048576,3,FALSE)</f>
        <v>61613000</v>
      </c>
      <c r="I399" s="13">
        <v>0.21</v>
      </c>
    </row>
    <row r="400" spans="1:9" x14ac:dyDescent="0.25">
      <c r="A400" s="1">
        <v>11</v>
      </c>
      <c r="B400" s="1" t="s">
        <v>238</v>
      </c>
      <c r="C400" s="1" t="s">
        <v>559</v>
      </c>
      <c r="D400" s="1" t="s">
        <v>566</v>
      </c>
      <c r="E400" s="1" t="s">
        <v>263</v>
      </c>
      <c r="F400" s="1">
        <v>6161000300</v>
      </c>
      <c r="G400" s="1" t="s">
        <v>264</v>
      </c>
      <c r="H400" t="str">
        <f>VLOOKUP(F400,Blad3!$1:$1048576,3,FALSE)</f>
        <v>61613000</v>
      </c>
      <c r="I400" s="13">
        <v>0.21</v>
      </c>
    </row>
    <row r="401" spans="1:9" x14ac:dyDescent="0.25">
      <c r="A401" s="1">
        <v>11</v>
      </c>
      <c r="B401" s="1" t="s">
        <v>238</v>
      </c>
      <c r="C401" s="1" t="s">
        <v>518</v>
      </c>
      <c r="D401" s="1" t="s">
        <v>567</v>
      </c>
      <c r="E401" s="1" t="s">
        <v>167</v>
      </c>
      <c r="F401" s="1">
        <v>6152100100</v>
      </c>
      <c r="G401" s="1" t="s">
        <v>568</v>
      </c>
      <c r="H401" t="str">
        <f>VLOOKUP(F401,Blad3!$1:$1048576,3,FALSE)</f>
        <v>61520001</v>
      </c>
      <c r="I401" s="13">
        <v>0</v>
      </c>
    </row>
    <row r="402" spans="1:9" x14ac:dyDescent="0.25">
      <c r="A402" s="1">
        <v>11</v>
      </c>
      <c r="B402" s="1" t="s">
        <v>238</v>
      </c>
      <c r="C402" s="1" t="s">
        <v>518</v>
      </c>
      <c r="D402" s="1" t="s">
        <v>569</v>
      </c>
      <c r="E402" s="1" t="s">
        <v>167</v>
      </c>
      <c r="F402" s="1">
        <v>6152000100</v>
      </c>
      <c r="G402" s="1" t="s">
        <v>168</v>
      </c>
      <c r="H402" t="str">
        <f>VLOOKUP(F402,Blad3!$1:$1048576,3,FALSE)</f>
        <v>61520001</v>
      </c>
      <c r="I402" s="13">
        <v>0</v>
      </c>
    </row>
    <row r="403" spans="1:9" x14ac:dyDescent="0.25">
      <c r="A403" s="1">
        <v>11</v>
      </c>
      <c r="B403" s="1" t="s">
        <v>238</v>
      </c>
      <c r="C403" s="1" t="s">
        <v>518</v>
      </c>
      <c r="D403" s="1" t="s">
        <v>571</v>
      </c>
      <c r="E403" s="1" t="s">
        <v>167</v>
      </c>
      <c r="F403" s="1">
        <v>6152000100</v>
      </c>
      <c r="G403" s="1" t="s">
        <v>168</v>
      </c>
      <c r="H403" t="str">
        <f>VLOOKUP(F403,Blad3!$1:$1048576,3,FALSE)</f>
        <v>61520001</v>
      </c>
      <c r="I403" s="13">
        <v>0</v>
      </c>
    </row>
    <row r="404" spans="1:9" x14ac:dyDescent="0.25">
      <c r="A404" s="1">
        <v>11</v>
      </c>
      <c r="B404" s="1" t="s">
        <v>238</v>
      </c>
      <c r="C404" s="1" t="s">
        <v>518</v>
      </c>
      <c r="D404" s="1" t="s">
        <v>573</v>
      </c>
      <c r="E404" s="1" t="s">
        <v>167</v>
      </c>
      <c r="F404" s="1">
        <v>6152000100</v>
      </c>
      <c r="G404" s="1" t="s">
        <v>168</v>
      </c>
      <c r="H404" t="str">
        <f>VLOOKUP(F404,Blad3!$1:$1048576,3,FALSE)</f>
        <v>61520001</v>
      </c>
      <c r="I404" s="13">
        <v>0.21</v>
      </c>
    </row>
    <row r="405" spans="1:9" x14ac:dyDescent="0.25">
      <c r="A405" s="1">
        <v>11</v>
      </c>
      <c r="B405" s="1" t="s">
        <v>238</v>
      </c>
      <c r="C405" s="1" t="s">
        <v>518</v>
      </c>
      <c r="D405" s="1" t="s">
        <v>574</v>
      </c>
      <c r="E405" s="1" t="s">
        <v>167</v>
      </c>
      <c r="F405" s="1">
        <v>6152000100</v>
      </c>
      <c r="G405" s="1" t="s">
        <v>168</v>
      </c>
      <c r="H405" t="str">
        <f>VLOOKUP(F405,Blad3!$1:$1048576,3,FALSE)</f>
        <v>61520001</v>
      </c>
      <c r="I405" s="13">
        <v>0.21</v>
      </c>
    </row>
    <row r="406" spans="1:9" x14ac:dyDescent="0.25">
      <c r="A406" s="1">
        <v>11</v>
      </c>
      <c r="B406" s="1" t="s">
        <v>238</v>
      </c>
      <c r="C406" s="1" t="s">
        <v>518</v>
      </c>
      <c r="D406" s="1" t="s">
        <v>163</v>
      </c>
      <c r="E406" s="1" t="s">
        <v>163</v>
      </c>
      <c r="F406" s="1">
        <v>6152000200</v>
      </c>
      <c r="G406" s="1" t="s">
        <v>164</v>
      </c>
      <c r="H406" t="str">
        <f>VLOOKUP(F406,Blad3!$1:$1048576,3,FALSE)</f>
        <v>61520002</v>
      </c>
      <c r="I406" s="13">
        <v>0.21</v>
      </c>
    </row>
    <row r="407" spans="1:9" x14ac:dyDescent="0.25">
      <c r="A407" s="1">
        <v>11</v>
      </c>
      <c r="B407" s="1" t="s">
        <v>238</v>
      </c>
      <c r="C407" s="1" t="s">
        <v>518</v>
      </c>
      <c r="D407" s="1" t="s">
        <v>576</v>
      </c>
      <c r="E407" s="1" t="s">
        <v>163</v>
      </c>
      <c r="F407" s="1">
        <v>6152000200</v>
      </c>
      <c r="G407" s="1" t="s">
        <v>164</v>
      </c>
      <c r="H407" t="str">
        <f>VLOOKUP(F407,Blad3!$1:$1048576,3,FALSE)</f>
        <v>61520002</v>
      </c>
      <c r="I407" s="13">
        <v>0.21</v>
      </c>
    </row>
    <row r="408" spans="1:9" x14ac:dyDescent="0.25">
      <c r="A408" s="1">
        <v>11</v>
      </c>
      <c r="B408" s="1" t="s">
        <v>238</v>
      </c>
      <c r="C408" s="1" t="s">
        <v>559</v>
      </c>
      <c r="D408" s="1" t="s">
        <v>577</v>
      </c>
      <c r="E408" s="1" t="s">
        <v>41</v>
      </c>
      <c r="F408" s="1">
        <v>6130000400</v>
      </c>
      <c r="G408" s="1" t="s">
        <v>578</v>
      </c>
      <c r="H408" t="str">
        <f>VLOOKUP(F408,Blad3!$1:$1048576,3,FALSE)</f>
        <v>61310000</v>
      </c>
      <c r="I408" s="13">
        <v>0</v>
      </c>
    </row>
    <row r="409" spans="1:9" x14ac:dyDescent="0.25">
      <c r="A409" s="1">
        <v>12</v>
      </c>
      <c r="B409" s="1" t="s">
        <v>277</v>
      </c>
      <c r="C409" s="1" t="s">
        <v>278</v>
      </c>
      <c r="D409" s="1" t="s">
        <v>279</v>
      </c>
      <c r="E409" s="1" t="s">
        <v>41</v>
      </c>
      <c r="F409" s="1">
        <v>6151000400</v>
      </c>
      <c r="G409" s="1" t="s">
        <v>160</v>
      </c>
      <c r="H409" t="str">
        <f>VLOOKUP(F409,Blad3!$1:$1048576,3,FALSE)</f>
        <v>61510000</v>
      </c>
      <c r="I409" s="13">
        <v>0.21</v>
      </c>
    </row>
    <row r="410" spans="1:9" x14ac:dyDescent="0.25">
      <c r="A410" s="1">
        <v>12</v>
      </c>
      <c r="B410" s="1" t="s">
        <v>277</v>
      </c>
      <c r="C410" s="1" t="s">
        <v>278</v>
      </c>
      <c r="D410" s="1" t="s">
        <v>279</v>
      </c>
      <c r="E410" s="1" t="s">
        <v>159</v>
      </c>
      <c r="F410" s="1">
        <v>6151000400</v>
      </c>
      <c r="G410" s="1" t="s">
        <v>160</v>
      </c>
      <c r="H410" t="str">
        <f>VLOOKUP(F410,Blad3!$1:$1048576,3,FALSE)</f>
        <v>61510000</v>
      </c>
      <c r="I410" s="13">
        <v>0.21</v>
      </c>
    </row>
    <row r="411" spans="1:9" x14ac:dyDescent="0.25">
      <c r="A411" s="1">
        <v>12</v>
      </c>
      <c r="B411" s="1" t="s">
        <v>277</v>
      </c>
      <c r="C411" s="1" t="s">
        <v>288</v>
      </c>
      <c r="D411" s="1" t="s">
        <v>287</v>
      </c>
      <c r="E411" s="1" t="s">
        <v>41</v>
      </c>
      <c r="F411" s="1">
        <v>6130000600</v>
      </c>
      <c r="G411" s="1" t="s">
        <v>287</v>
      </c>
      <c r="H411" t="str">
        <f>VLOOKUP(F411,Blad3!$1:$1048576,3,FALSE)</f>
        <v>61310000</v>
      </c>
      <c r="I411" s="13">
        <v>0.21</v>
      </c>
    </row>
    <row r="412" spans="1:9" x14ac:dyDescent="0.25">
      <c r="A412" s="1">
        <v>12</v>
      </c>
      <c r="B412" s="1" t="s">
        <v>277</v>
      </c>
      <c r="C412" s="1" t="s">
        <v>288</v>
      </c>
      <c r="D412" s="1" t="s">
        <v>287</v>
      </c>
      <c r="E412" s="1" t="s">
        <v>263</v>
      </c>
      <c r="F412" s="11">
        <v>6130009000</v>
      </c>
      <c r="G412" s="76" t="s">
        <v>289</v>
      </c>
      <c r="H412" t="str">
        <f>VLOOKUP(F412,Blad3!$1:$1048576,3,FALSE)</f>
        <v>61310000</v>
      </c>
      <c r="I412" s="13">
        <v>0.21</v>
      </c>
    </row>
    <row r="413" spans="1:9" x14ac:dyDescent="0.25">
      <c r="A413" s="1">
        <v>12</v>
      </c>
      <c r="B413" s="1" t="s">
        <v>277</v>
      </c>
      <c r="C413" s="1" t="s">
        <v>278</v>
      </c>
      <c r="D413" s="1" t="s">
        <v>580</v>
      </c>
      <c r="E413" s="1" t="s">
        <v>41</v>
      </c>
      <c r="F413" s="1">
        <v>4160100100</v>
      </c>
      <c r="G413" s="1" t="s">
        <v>581</v>
      </c>
      <c r="I413" s="13">
        <v>0</v>
      </c>
    </row>
    <row r="414" spans="1:9" x14ac:dyDescent="0.25">
      <c r="A414" s="1">
        <v>12</v>
      </c>
      <c r="B414" s="1" t="s">
        <v>277</v>
      </c>
      <c r="C414" s="1" t="s">
        <v>278</v>
      </c>
      <c r="D414" s="1" t="s">
        <v>583</v>
      </c>
      <c r="E414" s="1" t="s">
        <v>514</v>
      </c>
      <c r="F414" s="1">
        <v>6130001400</v>
      </c>
      <c r="G414" s="1" t="s">
        <v>517</v>
      </c>
      <c r="H414" t="str">
        <f>VLOOKUP(F414,Blad3!$1:$1048576,3,FALSE)</f>
        <v>61314000</v>
      </c>
      <c r="I414" s="13">
        <v>0</v>
      </c>
    </row>
    <row r="415" spans="1:9" x14ac:dyDescent="0.25">
      <c r="A415" s="1">
        <v>12</v>
      </c>
      <c r="B415" s="1" t="s">
        <v>277</v>
      </c>
      <c r="C415" s="1" t="s">
        <v>584</v>
      </c>
      <c r="D415" s="1" t="s">
        <v>585</v>
      </c>
      <c r="E415" s="1" t="s">
        <v>41</v>
      </c>
      <c r="F415" s="1">
        <v>6130001000</v>
      </c>
      <c r="G415" s="1" t="s">
        <v>586</v>
      </c>
      <c r="H415" t="str">
        <f>VLOOKUP(F415,Blad3!$1:$1048576,3,FALSE)</f>
        <v>61300000</v>
      </c>
      <c r="I415" s="13">
        <v>0.06</v>
      </c>
    </row>
    <row r="416" spans="1:9" x14ac:dyDescent="0.25">
      <c r="A416" s="1">
        <v>12</v>
      </c>
      <c r="B416" s="1" t="s">
        <v>277</v>
      </c>
      <c r="C416" s="1" t="s">
        <v>584</v>
      </c>
      <c r="D416" s="1" t="s">
        <v>587</v>
      </c>
      <c r="E416" s="1" t="s">
        <v>41</v>
      </c>
      <c r="F416" s="1">
        <v>6130001000</v>
      </c>
      <c r="G416" s="1" t="s">
        <v>586</v>
      </c>
      <c r="H416" t="str">
        <f>VLOOKUP(F416,Blad3!$1:$1048576,3,FALSE)</f>
        <v>61300000</v>
      </c>
      <c r="I416" s="13">
        <v>0.06</v>
      </c>
    </row>
    <row r="417" spans="1:9" x14ac:dyDescent="0.25">
      <c r="A417" s="1">
        <v>12</v>
      </c>
      <c r="B417" s="1" t="s">
        <v>277</v>
      </c>
      <c r="C417" s="1" t="s">
        <v>278</v>
      </c>
      <c r="D417" s="1" t="s">
        <v>589</v>
      </c>
      <c r="E417" s="1" t="s">
        <v>41</v>
      </c>
      <c r="F417" s="1">
        <v>6130000100</v>
      </c>
      <c r="G417" s="1" t="s">
        <v>590</v>
      </c>
      <c r="H417" t="str">
        <f>VLOOKUP(F417,Blad3!$1:$1048576,3,FALSE)</f>
        <v>61310000</v>
      </c>
      <c r="I417" s="13">
        <v>0.21</v>
      </c>
    </row>
    <row r="418" spans="1:9" x14ac:dyDescent="0.25">
      <c r="A418" s="1">
        <v>12</v>
      </c>
      <c r="B418" s="1" t="s">
        <v>277</v>
      </c>
      <c r="C418" s="1" t="s">
        <v>278</v>
      </c>
      <c r="D418" s="1" t="s">
        <v>591</v>
      </c>
      <c r="E418" s="1" t="s">
        <v>41</v>
      </c>
      <c r="F418" s="1">
        <v>6130000200</v>
      </c>
      <c r="G418" s="1" t="s">
        <v>592</v>
      </c>
      <c r="H418" t="str">
        <f>VLOOKUP(F418,Blad3!$1:$1048576,3,FALSE)</f>
        <v>61310000</v>
      </c>
      <c r="I418" s="13">
        <v>0.21</v>
      </c>
    </row>
    <row r="419" spans="1:9" x14ac:dyDescent="0.25">
      <c r="A419" s="1">
        <v>12</v>
      </c>
      <c r="B419" s="1" t="s">
        <v>277</v>
      </c>
      <c r="C419" s="1" t="s">
        <v>278</v>
      </c>
      <c r="D419" s="1" t="s">
        <v>593</v>
      </c>
      <c r="E419" s="1" t="s">
        <v>41</v>
      </c>
      <c r="F419" s="1">
        <v>6130000800</v>
      </c>
      <c r="G419" s="1" t="s">
        <v>594</v>
      </c>
      <c r="H419" t="str">
        <f>VLOOKUP(F419,Blad3!$1:$1048576,3,FALSE)</f>
        <v>61310000</v>
      </c>
      <c r="I419" s="13">
        <v>0</v>
      </c>
    </row>
    <row r="420" spans="1:9" x14ac:dyDescent="0.25">
      <c r="A420" s="1">
        <v>12</v>
      </c>
      <c r="B420" s="1" t="s">
        <v>277</v>
      </c>
      <c r="C420" s="1" t="s">
        <v>278</v>
      </c>
      <c r="D420" s="1" t="s">
        <v>595</v>
      </c>
      <c r="E420" s="1" t="s">
        <v>41</v>
      </c>
      <c r="F420" s="1">
        <v>6170000000</v>
      </c>
      <c r="G420" s="1" t="s">
        <v>596</v>
      </c>
      <c r="H420" t="str">
        <f>VLOOKUP(F420,Blad3!$1:$1048576,3,FALSE)</f>
        <v>61700000</v>
      </c>
      <c r="I420" s="13">
        <v>0.21</v>
      </c>
    </row>
    <row r="421" spans="1:9" x14ac:dyDescent="0.25">
      <c r="A421" s="1">
        <v>12</v>
      </c>
      <c r="B421" s="1" t="s">
        <v>277</v>
      </c>
      <c r="C421" s="1" t="s">
        <v>278</v>
      </c>
      <c r="D421" s="1" t="s">
        <v>597</v>
      </c>
      <c r="E421" s="1" t="s">
        <v>41</v>
      </c>
      <c r="F421" s="1">
        <v>6430000200</v>
      </c>
      <c r="G421" s="1" t="s">
        <v>597</v>
      </c>
      <c r="H421" t="str">
        <f>VLOOKUP(F421,Blad3!$1:$1048576,3,FALSE)</f>
        <v>64300000</v>
      </c>
      <c r="I421" s="13">
        <v>0</v>
      </c>
    </row>
    <row r="422" spans="1:9" x14ac:dyDescent="0.25">
      <c r="A422" s="1">
        <v>12</v>
      </c>
      <c r="B422" s="1" t="s">
        <v>277</v>
      </c>
      <c r="C422" s="1" t="s">
        <v>288</v>
      </c>
      <c r="D422" s="1" t="s">
        <v>594</v>
      </c>
      <c r="E422" s="1" t="s">
        <v>41</v>
      </c>
      <c r="F422" s="1">
        <v>6130000800</v>
      </c>
      <c r="G422" s="1" t="s">
        <v>594</v>
      </c>
      <c r="H422" t="str">
        <f>VLOOKUP(F422,Blad3!$1:$1048576,3,FALSE)</f>
        <v>61310000</v>
      </c>
      <c r="I422" s="13">
        <v>0</v>
      </c>
    </row>
    <row r="423" spans="1:9" x14ac:dyDescent="0.25">
      <c r="A423" s="1">
        <v>12</v>
      </c>
      <c r="B423" s="1" t="s">
        <v>277</v>
      </c>
      <c r="C423" s="1" t="s">
        <v>288</v>
      </c>
      <c r="D423" s="1" t="s">
        <v>598</v>
      </c>
      <c r="E423" s="1" t="s">
        <v>598</v>
      </c>
      <c r="F423" s="1">
        <v>6131000600</v>
      </c>
      <c r="G423" s="1" t="s">
        <v>598</v>
      </c>
      <c r="H423" t="str">
        <f>VLOOKUP(F423,Blad3!$1:$1048576,3,FALSE)</f>
        <v>61310000</v>
      </c>
      <c r="I423" s="13">
        <v>0</v>
      </c>
    </row>
    <row r="424" spans="1:9" x14ac:dyDescent="0.25">
      <c r="A424" s="1">
        <v>12</v>
      </c>
      <c r="B424" s="1" t="s">
        <v>277</v>
      </c>
      <c r="C424" s="1" t="s">
        <v>288</v>
      </c>
      <c r="D424" s="1" t="s">
        <v>599</v>
      </c>
      <c r="E424" s="1" t="s">
        <v>41</v>
      </c>
      <c r="F424" s="1">
        <v>6130000600</v>
      </c>
      <c r="G424" s="1" t="s">
        <v>287</v>
      </c>
      <c r="H424" t="str">
        <f>VLOOKUP(F424,Blad3!$1:$1048576,3,FALSE)</f>
        <v>61310000</v>
      </c>
      <c r="I424" s="13">
        <v>0</v>
      </c>
    </row>
    <row r="425" spans="1:9" x14ac:dyDescent="0.25">
      <c r="A425" s="1">
        <v>12</v>
      </c>
      <c r="B425" s="1" t="s">
        <v>277</v>
      </c>
      <c r="C425" s="1" t="s">
        <v>278</v>
      </c>
      <c r="D425" s="1" t="s">
        <v>600</v>
      </c>
      <c r="E425" s="1" t="s">
        <v>41</v>
      </c>
      <c r="F425" s="1">
        <v>6130000500</v>
      </c>
      <c r="G425" s="1" t="s">
        <v>601</v>
      </c>
      <c r="H425" t="str">
        <f>VLOOKUP(F425,Blad3!$1:$1048576,3,FALSE)</f>
        <v>61310000</v>
      </c>
      <c r="I425" s="13">
        <v>0.21</v>
      </c>
    </row>
    <row r="426" spans="1:9" x14ac:dyDescent="0.25">
      <c r="A426" s="1">
        <v>12</v>
      </c>
      <c r="B426" s="1" t="s">
        <v>277</v>
      </c>
      <c r="C426" s="1" t="s">
        <v>278</v>
      </c>
      <c r="D426" s="1" t="s">
        <v>602</v>
      </c>
      <c r="E426" s="1" t="s">
        <v>41</v>
      </c>
      <c r="F426" s="1">
        <v>6120000300</v>
      </c>
      <c r="G426" s="1" t="s">
        <v>603</v>
      </c>
      <c r="H426" t="str">
        <f>VLOOKUP(F426,Blad3!$1:$1048576,3,FALSE)</f>
        <v>61200000</v>
      </c>
      <c r="I426" s="13">
        <v>0</v>
      </c>
    </row>
    <row r="427" spans="1:9" x14ac:dyDescent="0.25">
      <c r="A427" s="1">
        <v>12</v>
      </c>
      <c r="B427" s="1" t="s">
        <v>277</v>
      </c>
      <c r="C427" s="1" t="s">
        <v>278</v>
      </c>
      <c r="D427" s="1" t="s">
        <v>604</v>
      </c>
      <c r="E427" s="1" t="s">
        <v>41</v>
      </c>
      <c r="F427" s="1">
        <v>6120000200</v>
      </c>
      <c r="G427" s="1" t="s">
        <v>605</v>
      </c>
      <c r="H427" t="str">
        <f>VLOOKUP(F427,Blad3!$1:$1048576,3,FALSE)</f>
        <v>61200000</v>
      </c>
      <c r="I427" s="13">
        <v>0</v>
      </c>
    </row>
    <row r="428" spans="1:9" x14ac:dyDescent="0.25">
      <c r="A428" s="1">
        <v>12</v>
      </c>
      <c r="B428" s="1" t="s">
        <v>277</v>
      </c>
      <c r="C428" s="1" t="s">
        <v>278</v>
      </c>
      <c r="D428" s="1" t="s">
        <v>606</v>
      </c>
      <c r="E428" s="1" t="s">
        <v>41</v>
      </c>
      <c r="F428" s="1">
        <v>6120009000</v>
      </c>
      <c r="G428" s="1" t="s">
        <v>607</v>
      </c>
      <c r="H428" t="str">
        <f>VLOOKUP(F428,Blad3!$1:$1048576,3,FALSE)</f>
        <v>61200000</v>
      </c>
      <c r="I428" s="13">
        <v>0</v>
      </c>
    </row>
    <row r="429" spans="1:9" x14ac:dyDescent="0.25">
      <c r="A429" s="1">
        <v>12</v>
      </c>
      <c r="B429" s="1" t="s">
        <v>277</v>
      </c>
      <c r="C429" s="1" t="s">
        <v>278</v>
      </c>
      <c r="D429" s="1" t="s">
        <v>608</v>
      </c>
      <c r="E429" s="1" t="s">
        <v>41</v>
      </c>
      <c r="F429" s="1">
        <v>6120000100</v>
      </c>
      <c r="G429" s="1" t="s">
        <v>609</v>
      </c>
      <c r="H429" t="str">
        <f>VLOOKUP(F429,Blad3!$1:$1048576,3,FALSE)</f>
        <v>61200000</v>
      </c>
      <c r="I429" s="13">
        <v>0</v>
      </c>
    </row>
    <row r="430" spans="1:9" x14ac:dyDescent="0.25">
      <c r="A430" s="1">
        <v>12</v>
      </c>
      <c r="B430" s="1" t="s">
        <v>277</v>
      </c>
      <c r="C430" s="1" t="s">
        <v>278</v>
      </c>
      <c r="D430" s="1" t="s">
        <v>610</v>
      </c>
      <c r="E430" s="1" t="s">
        <v>41</v>
      </c>
      <c r="F430" s="1">
        <v>6120009000</v>
      </c>
      <c r="G430" s="1" t="s">
        <v>607</v>
      </c>
      <c r="H430" t="str">
        <f>VLOOKUP(F430,Blad3!$1:$1048576,3,FALSE)</f>
        <v>61200000</v>
      </c>
      <c r="I430" s="13">
        <v>0</v>
      </c>
    </row>
    <row r="431" spans="1:9" x14ac:dyDescent="0.25">
      <c r="A431" s="1">
        <v>12</v>
      </c>
      <c r="B431" s="1" t="s">
        <v>277</v>
      </c>
      <c r="C431" s="1" t="s">
        <v>278</v>
      </c>
      <c r="D431" s="1" t="s">
        <v>612</v>
      </c>
      <c r="E431" s="1" t="s">
        <v>41</v>
      </c>
      <c r="F431" s="1">
        <v>6152001300</v>
      </c>
      <c r="G431" s="1" t="s">
        <v>613</v>
      </c>
      <c r="H431" t="str">
        <f>VLOOKUP(F431,Blad3!$1:$1048576,3,FALSE)</f>
        <v>61560000</v>
      </c>
      <c r="I431" s="13">
        <v>0</v>
      </c>
    </row>
    <row r="432" spans="1:9" x14ac:dyDescent="0.25">
      <c r="A432" s="1">
        <v>12</v>
      </c>
      <c r="B432" s="1" t="s">
        <v>277</v>
      </c>
      <c r="C432" s="1" t="s">
        <v>288</v>
      </c>
      <c r="D432" s="1" t="s">
        <v>614</v>
      </c>
      <c r="E432" s="1" t="s">
        <v>41</v>
      </c>
      <c r="F432" s="1">
        <v>6130000900</v>
      </c>
      <c r="G432" s="1" t="s">
        <v>615</v>
      </c>
      <c r="H432" t="str">
        <f>VLOOKUP(F432,Blad3!$1:$1048576,3,FALSE)</f>
        <v>61310000</v>
      </c>
      <c r="I432" s="13">
        <v>0</v>
      </c>
    </row>
    <row r="433" spans="1:9" x14ac:dyDescent="0.25">
      <c r="A433" s="1">
        <v>12</v>
      </c>
      <c r="B433" s="1" t="s">
        <v>277</v>
      </c>
      <c r="C433" s="1" t="s">
        <v>278</v>
      </c>
      <c r="D433" s="1" t="s">
        <v>616</v>
      </c>
      <c r="E433" s="1" t="s">
        <v>41</v>
      </c>
      <c r="F433" s="1">
        <v>6152001300</v>
      </c>
      <c r="G433" s="1" t="s">
        <v>613</v>
      </c>
      <c r="H433" t="str">
        <f>VLOOKUP(F433,Blad3!$1:$1048576,3,FALSE)</f>
        <v>61560000</v>
      </c>
      <c r="I433" s="13">
        <v>0</v>
      </c>
    </row>
    <row r="434" spans="1:9" x14ac:dyDescent="0.25">
      <c r="A434" s="1">
        <v>12</v>
      </c>
      <c r="B434" s="1" t="s">
        <v>277</v>
      </c>
      <c r="C434" s="1" t="s">
        <v>278</v>
      </c>
      <c r="D434" s="1" t="s">
        <v>617</v>
      </c>
      <c r="E434" s="1" t="s">
        <v>41</v>
      </c>
      <c r="F434" s="1">
        <v>6152001300</v>
      </c>
      <c r="G434" s="1" t="s">
        <v>613</v>
      </c>
      <c r="H434" t="str">
        <f>VLOOKUP(F434,Blad3!$1:$1048576,3,FALSE)</f>
        <v>61560000</v>
      </c>
      <c r="I434" s="13">
        <v>0</v>
      </c>
    </row>
    <row r="435" spans="1:9" x14ac:dyDescent="0.25">
      <c r="A435" s="1">
        <v>12</v>
      </c>
      <c r="B435" s="1" t="s">
        <v>277</v>
      </c>
      <c r="C435" s="1" t="s">
        <v>278</v>
      </c>
      <c r="D435" s="1" t="s">
        <v>618</v>
      </c>
      <c r="E435" s="1" t="s">
        <v>41</v>
      </c>
      <c r="F435" s="1">
        <v>6152001300</v>
      </c>
      <c r="G435" s="1" t="s">
        <v>613</v>
      </c>
      <c r="H435" t="str">
        <f>VLOOKUP(F435,Blad3!$1:$1048576,3,FALSE)</f>
        <v>61560000</v>
      </c>
      <c r="I435" s="13">
        <v>0</v>
      </c>
    </row>
    <row r="436" spans="1:9" x14ac:dyDescent="0.25">
      <c r="A436" s="1">
        <v>12</v>
      </c>
      <c r="B436" s="1" t="s">
        <v>277</v>
      </c>
      <c r="C436" s="1" t="s">
        <v>278</v>
      </c>
      <c r="D436" s="1" t="s">
        <v>621</v>
      </c>
      <c r="E436" s="1" t="s">
        <v>619</v>
      </c>
      <c r="F436" s="1">
        <v>6400009000</v>
      </c>
      <c r="G436" s="1" t="s">
        <v>622</v>
      </c>
      <c r="H436" t="str">
        <f>VLOOKUP(F436,Blad3!$1:$1048576,3,FALSE)</f>
        <v>64000000</v>
      </c>
      <c r="I436" s="13">
        <v>0</v>
      </c>
    </row>
    <row r="437" spans="1:9" x14ac:dyDescent="0.25">
      <c r="A437" s="1">
        <v>12</v>
      </c>
      <c r="B437" s="1" t="s">
        <v>277</v>
      </c>
      <c r="C437" s="1" t="s">
        <v>278</v>
      </c>
      <c r="D437" s="1" t="s">
        <v>623</v>
      </c>
      <c r="E437" s="1" t="s">
        <v>619</v>
      </c>
      <c r="F437" s="1">
        <v>6400000600</v>
      </c>
      <c r="G437" s="1" t="s">
        <v>623</v>
      </c>
      <c r="H437" t="str">
        <f>VLOOKUP(F437,Blad3!$1:$1048576,3,FALSE)</f>
        <v>64000000</v>
      </c>
      <c r="I437" s="13">
        <v>0</v>
      </c>
    </row>
    <row r="438" spans="1:9" x14ac:dyDescent="0.25">
      <c r="A438" s="1">
        <v>12</v>
      </c>
      <c r="B438" s="1" t="s">
        <v>277</v>
      </c>
      <c r="C438" s="1" t="s">
        <v>278</v>
      </c>
      <c r="D438" s="1" t="s">
        <v>625</v>
      </c>
      <c r="E438" s="1" t="s">
        <v>619</v>
      </c>
      <c r="F438" s="1">
        <v>6400009000</v>
      </c>
      <c r="G438" s="1" t="s">
        <v>622</v>
      </c>
      <c r="H438" t="str">
        <f>VLOOKUP(F438,Blad3!$1:$1048576,3,FALSE)</f>
        <v>64000000</v>
      </c>
      <c r="I438" s="13">
        <v>0</v>
      </c>
    </row>
    <row r="439" spans="1:9" x14ac:dyDescent="0.25">
      <c r="A439" s="1">
        <v>12</v>
      </c>
      <c r="B439" s="1" t="s">
        <v>277</v>
      </c>
      <c r="C439" s="1" t="s">
        <v>278</v>
      </c>
      <c r="D439" s="1" t="s">
        <v>627</v>
      </c>
      <c r="E439" s="1" t="s">
        <v>619</v>
      </c>
      <c r="F439" s="1">
        <v>6400000400</v>
      </c>
      <c r="G439" s="1" t="s">
        <v>628</v>
      </c>
      <c r="H439" t="str">
        <f>VLOOKUP(F439,Blad3!$1:$1048576,3,FALSE)</f>
        <v>64000000</v>
      </c>
      <c r="I439" s="13">
        <v>0</v>
      </c>
    </row>
    <row r="440" spans="1:9" x14ac:dyDescent="0.25">
      <c r="A440" s="1">
        <v>12</v>
      </c>
      <c r="B440" s="1" t="s">
        <v>277</v>
      </c>
      <c r="C440" s="1" t="s">
        <v>278</v>
      </c>
      <c r="D440" s="1" t="s">
        <v>630</v>
      </c>
      <c r="E440" s="1" t="s">
        <v>619</v>
      </c>
      <c r="F440" s="1">
        <v>6400000500</v>
      </c>
      <c r="G440" s="1" t="s">
        <v>631</v>
      </c>
      <c r="H440" t="str">
        <f>VLOOKUP(F440,Blad3!$1:$1048576,3,FALSE)</f>
        <v>64000000</v>
      </c>
      <c r="I440" s="13">
        <v>0</v>
      </c>
    </row>
    <row r="441" spans="1:9" x14ac:dyDescent="0.25">
      <c r="A441" s="1">
        <v>12</v>
      </c>
      <c r="B441" s="1" t="s">
        <v>277</v>
      </c>
      <c r="C441" s="1" t="s">
        <v>278</v>
      </c>
      <c r="D441" s="1" t="s">
        <v>634</v>
      </c>
      <c r="E441" s="1" t="s">
        <v>632</v>
      </c>
      <c r="F441" s="1">
        <v>4891000100</v>
      </c>
      <c r="G441" s="1" t="s">
        <v>635</v>
      </c>
      <c r="I441" s="13">
        <v>0</v>
      </c>
    </row>
    <row r="442" spans="1:9" x14ac:dyDescent="0.25">
      <c r="A442" s="1">
        <v>12</v>
      </c>
      <c r="B442" s="1" t="s">
        <v>277</v>
      </c>
      <c r="C442" s="1" t="s">
        <v>278</v>
      </c>
      <c r="D442" s="1" t="s">
        <v>636</v>
      </c>
      <c r="E442" s="1" t="s">
        <v>41</v>
      </c>
      <c r="F442" s="1">
        <v>6146000200</v>
      </c>
      <c r="G442" s="1" t="s">
        <v>637</v>
      </c>
      <c r="H442" t="str">
        <f>VLOOKUP(F442,Blad3!$1:$1048576,3,FALSE)</f>
        <v>61460000</v>
      </c>
      <c r="I442" s="13">
        <v>0.06</v>
      </c>
    </row>
    <row r="443" spans="1:9" x14ac:dyDescent="0.25">
      <c r="A443" s="21">
        <v>12</v>
      </c>
      <c r="B443" s="21" t="s">
        <v>277</v>
      </c>
      <c r="C443" s="21" t="s">
        <v>278</v>
      </c>
      <c r="D443" s="21" t="s">
        <v>639</v>
      </c>
      <c r="E443" s="21" t="s">
        <v>41</v>
      </c>
      <c r="F443" s="21">
        <v>6230000100</v>
      </c>
      <c r="G443" s="21" t="s">
        <v>640</v>
      </c>
      <c r="H443" t="str">
        <f>VLOOKUP(F443,Blad3!$1:$1048576,3,FALSE)</f>
        <v>62300000</v>
      </c>
      <c r="I443" s="26">
        <v>0</v>
      </c>
    </row>
    <row r="444" spans="1:9" x14ac:dyDescent="0.25">
      <c r="A444" s="1">
        <v>13</v>
      </c>
      <c r="B444" s="1" t="s">
        <v>50</v>
      </c>
      <c r="C444" s="1" t="s">
        <v>641</v>
      </c>
      <c r="D444" s="1" t="s">
        <v>263</v>
      </c>
      <c r="E444" s="1" t="s">
        <v>263</v>
      </c>
      <c r="F444" s="1">
        <v>6161000300</v>
      </c>
      <c r="G444" s="1" t="s">
        <v>263</v>
      </c>
      <c r="H444" t="str">
        <f>VLOOKUP(F444,Blad3!$1:$1048576,3,FALSE)</f>
        <v>61613000</v>
      </c>
      <c r="I444" s="13">
        <v>0</v>
      </c>
    </row>
    <row r="445" spans="1:9" x14ac:dyDescent="0.25">
      <c r="A445" s="1">
        <v>13</v>
      </c>
      <c r="B445" s="1" t="s">
        <v>50</v>
      </c>
      <c r="C445" s="1" t="s">
        <v>641</v>
      </c>
      <c r="D445" s="1" t="s">
        <v>643</v>
      </c>
      <c r="E445" s="1" t="s">
        <v>263</v>
      </c>
      <c r="F445" s="1">
        <v>6161000300</v>
      </c>
      <c r="G445" s="1" t="s">
        <v>263</v>
      </c>
      <c r="H445" t="str">
        <f>VLOOKUP(F445,Blad3!$1:$1048576,3,FALSE)</f>
        <v>61613000</v>
      </c>
      <c r="I445" s="13">
        <v>0</v>
      </c>
    </row>
    <row r="446" spans="1:9" x14ac:dyDescent="0.25">
      <c r="A446" s="1">
        <v>13</v>
      </c>
      <c r="B446" s="1" t="s">
        <v>50</v>
      </c>
      <c r="C446" s="1" t="s">
        <v>644</v>
      </c>
      <c r="D446" s="1" t="s">
        <v>644</v>
      </c>
      <c r="E446" s="1" t="s">
        <v>41</v>
      </c>
      <c r="F446" s="1">
        <v>6430000800</v>
      </c>
      <c r="G446" s="1" t="s">
        <v>644</v>
      </c>
      <c r="H446" t="str">
        <f>VLOOKUP(F446,Blad3!$1:$1048576,3,FALSE)</f>
        <v>64300000</v>
      </c>
      <c r="I446" s="13">
        <v>0</v>
      </c>
    </row>
    <row r="447" spans="1:9" x14ac:dyDescent="0.25">
      <c r="A447" s="1">
        <v>13</v>
      </c>
      <c r="B447" s="1" t="s">
        <v>50</v>
      </c>
      <c r="C447" s="1"/>
      <c r="D447" s="1" t="s">
        <v>646</v>
      </c>
      <c r="E447" s="1" t="s">
        <v>41</v>
      </c>
      <c r="F447" s="1">
        <v>6430000800</v>
      </c>
      <c r="G447" s="1" t="s">
        <v>644</v>
      </c>
      <c r="H447" t="str">
        <f>VLOOKUP(F447,Blad3!$1:$1048576,3,FALSE)</f>
        <v>64300000</v>
      </c>
      <c r="I447" s="13">
        <v>0.06</v>
      </c>
    </row>
    <row r="448" spans="1:9" x14ac:dyDescent="0.25">
      <c r="A448" s="1">
        <v>13</v>
      </c>
      <c r="B448" s="1" t="s">
        <v>50</v>
      </c>
      <c r="C448" s="1" t="s">
        <v>51</v>
      </c>
      <c r="D448" s="1" t="s">
        <v>51</v>
      </c>
      <c r="E448" s="1" t="s">
        <v>51</v>
      </c>
      <c r="F448" s="1">
        <v>4991000100</v>
      </c>
      <c r="G448" s="1" t="s">
        <v>54</v>
      </c>
      <c r="I448" s="13">
        <v>0</v>
      </c>
    </row>
    <row r="449" spans="1:9" x14ac:dyDescent="0.25">
      <c r="A449" s="1">
        <v>14</v>
      </c>
      <c r="B449" s="1" t="s">
        <v>73</v>
      </c>
      <c r="C449" s="1"/>
      <c r="D449" s="1" t="s">
        <v>74</v>
      </c>
      <c r="E449" s="1" t="s">
        <v>41</v>
      </c>
      <c r="F449" s="1">
        <v>6141100100</v>
      </c>
      <c r="G449" s="1" t="s">
        <v>66</v>
      </c>
      <c r="H449" t="str">
        <f>VLOOKUP(F449,Blad3!$1:$1048576,3,FALSE)</f>
        <v>61411000</v>
      </c>
      <c r="I449" s="13">
        <v>0.21</v>
      </c>
    </row>
    <row r="450" spans="1:9" x14ac:dyDescent="0.25">
      <c r="A450" s="1">
        <v>14</v>
      </c>
      <c r="B450" s="1" t="s">
        <v>73</v>
      </c>
      <c r="C450" s="1"/>
      <c r="D450" s="1" t="s">
        <v>74</v>
      </c>
      <c r="E450" s="1" t="s">
        <v>59</v>
      </c>
      <c r="F450" s="1">
        <v>2301000000</v>
      </c>
      <c r="G450" s="1" t="s">
        <v>76</v>
      </c>
      <c r="H450" t="str">
        <f>VLOOKUP(F450,Blad3!$1:$1048576,3,FALSE)</f>
        <v>23010000</v>
      </c>
      <c r="I450" s="13">
        <v>0.21</v>
      </c>
    </row>
    <row r="451" spans="1:9" x14ac:dyDescent="0.25">
      <c r="A451" s="1">
        <v>14</v>
      </c>
      <c r="B451" s="1" t="s">
        <v>73</v>
      </c>
      <c r="C451" s="1"/>
      <c r="D451" s="1" t="s">
        <v>78</v>
      </c>
      <c r="E451" s="1" t="s">
        <v>41</v>
      </c>
      <c r="F451" s="1">
        <v>6141100100</v>
      </c>
      <c r="G451" s="1" t="s">
        <v>66</v>
      </c>
      <c r="H451" t="str">
        <f>VLOOKUP(F451,Blad3!$1:$1048576,3,FALSE)</f>
        <v>61411000</v>
      </c>
      <c r="I451" s="13">
        <v>0.21</v>
      </c>
    </row>
    <row r="452" spans="1:9" x14ac:dyDescent="0.25">
      <c r="A452" s="1">
        <v>14</v>
      </c>
      <c r="B452" s="1" t="s">
        <v>73</v>
      </c>
      <c r="C452" s="1"/>
      <c r="D452" s="1" t="s">
        <v>78</v>
      </c>
      <c r="E452" s="1" t="s">
        <v>59</v>
      </c>
      <c r="F452" s="1">
        <v>2301000000</v>
      </c>
      <c r="G452" s="1" t="s">
        <v>76</v>
      </c>
      <c r="H452" t="str">
        <f>VLOOKUP(F452,Blad3!$1:$1048576,3,FALSE)</f>
        <v>23010000</v>
      </c>
      <c r="I452" s="13">
        <v>0.21</v>
      </c>
    </row>
    <row r="453" spans="1:9" x14ac:dyDescent="0.25">
      <c r="A453" s="21">
        <v>14</v>
      </c>
      <c r="B453" s="21" t="s">
        <v>73</v>
      </c>
      <c r="C453" s="21"/>
      <c r="D453" s="21" t="s">
        <v>87</v>
      </c>
      <c r="E453" s="21" t="s">
        <v>41</v>
      </c>
      <c r="F453" s="21">
        <v>6141100100</v>
      </c>
      <c r="G453" s="21" t="s">
        <v>66</v>
      </c>
      <c r="H453" t="str">
        <f>VLOOKUP(F453,Blad3!$1:$1048576,3,FALSE)</f>
        <v>61411000</v>
      </c>
      <c r="I453" s="35">
        <v>0.06</v>
      </c>
    </row>
    <row r="454" spans="1:9" x14ac:dyDescent="0.25">
      <c r="A454" s="21">
        <v>14</v>
      </c>
      <c r="B454" s="21" t="s">
        <v>73</v>
      </c>
      <c r="C454" s="21"/>
      <c r="D454" s="21" t="s">
        <v>87</v>
      </c>
      <c r="E454" s="21" t="s">
        <v>59</v>
      </c>
      <c r="F454" s="21">
        <v>2301000000</v>
      </c>
      <c r="G454" s="21" t="s">
        <v>76</v>
      </c>
      <c r="H454" t="str">
        <f>VLOOKUP(F454,Blad3!$1:$1048576,3,FALSE)</f>
        <v>23010000</v>
      </c>
      <c r="I454" s="35">
        <v>0.06</v>
      </c>
    </row>
    <row r="455" spans="1:9" x14ac:dyDescent="0.25">
      <c r="A455" s="1">
        <v>14</v>
      </c>
      <c r="B455" s="1" t="s">
        <v>73</v>
      </c>
      <c r="C455" s="1"/>
      <c r="D455" s="1" t="s">
        <v>88</v>
      </c>
      <c r="E455" s="1" t="s">
        <v>41</v>
      </c>
      <c r="F455" s="1">
        <v>6141100100</v>
      </c>
      <c r="G455" s="1" t="s">
        <v>66</v>
      </c>
      <c r="H455" t="str">
        <f>VLOOKUP(F455,Blad3!$1:$1048576,3,FALSE)</f>
        <v>61411000</v>
      </c>
      <c r="I455" s="13">
        <v>0.21</v>
      </c>
    </row>
    <row r="456" spans="1:9" x14ac:dyDescent="0.25">
      <c r="A456" s="1">
        <v>14</v>
      </c>
      <c r="B456" s="1" t="s">
        <v>73</v>
      </c>
      <c r="C456" s="1"/>
      <c r="D456" s="1" t="s">
        <v>88</v>
      </c>
      <c r="E456" s="1" t="s">
        <v>59</v>
      </c>
      <c r="F456" s="1">
        <v>2301000000</v>
      </c>
      <c r="G456" s="1" t="s">
        <v>76</v>
      </c>
      <c r="H456" t="str">
        <f>VLOOKUP(F456,Blad3!$1:$1048576,3,FALSE)</f>
        <v>23010000</v>
      </c>
      <c r="I456" s="13">
        <v>0.21</v>
      </c>
    </row>
    <row r="457" spans="1:9" x14ac:dyDescent="0.25">
      <c r="A457" s="1">
        <v>14</v>
      </c>
      <c r="B457" s="1" t="s">
        <v>73</v>
      </c>
      <c r="C457" s="1"/>
      <c r="D457" s="1" t="s">
        <v>90</v>
      </c>
      <c r="E457" s="1" t="s">
        <v>41</v>
      </c>
      <c r="F457" s="1">
        <v>6141000100</v>
      </c>
      <c r="G457" s="1" t="s">
        <v>92</v>
      </c>
      <c r="H457" t="str">
        <f>VLOOKUP(F457,Blad3!$1:$1048576,3,FALSE)</f>
        <v>61410000</v>
      </c>
      <c r="I457" s="13">
        <v>0.21</v>
      </c>
    </row>
    <row r="458" spans="1:9" x14ac:dyDescent="0.25">
      <c r="A458" s="1">
        <v>14</v>
      </c>
      <c r="B458" s="1" t="s">
        <v>73</v>
      </c>
      <c r="C458" s="1"/>
      <c r="D458" s="1" t="s">
        <v>90</v>
      </c>
      <c r="E458" s="1" t="s">
        <v>59</v>
      </c>
      <c r="F458" s="1">
        <v>2300000000</v>
      </c>
      <c r="G458" s="1" t="s">
        <v>93</v>
      </c>
      <c r="H458" t="str">
        <f>VLOOKUP(F458,Blad3!$1:$1048576,3,FALSE)</f>
        <v>23000000</v>
      </c>
      <c r="I458" s="13">
        <v>0.21</v>
      </c>
    </row>
    <row r="459" spans="1:9" x14ac:dyDescent="0.25">
      <c r="A459" s="1">
        <v>14</v>
      </c>
      <c r="B459" s="1" t="s">
        <v>73</v>
      </c>
      <c r="C459" s="1"/>
      <c r="D459" s="1" t="s">
        <v>130</v>
      </c>
      <c r="E459" s="1" t="s">
        <v>41</v>
      </c>
      <c r="F459" s="1">
        <v>6103000900</v>
      </c>
      <c r="G459" s="1" t="s">
        <v>131</v>
      </c>
      <c r="H459" t="str">
        <f>VLOOKUP(F459,Blad3!$1:$1048576,3,FALSE)</f>
        <v>61030000</v>
      </c>
      <c r="I459" s="13">
        <v>0.21</v>
      </c>
    </row>
    <row r="460" spans="1:9" x14ac:dyDescent="0.25">
      <c r="A460" s="1">
        <v>14</v>
      </c>
      <c r="B460" s="1" t="s">
        <v>73</v>
      </c>
      <c r="C460" s="1"/>
      <c r="D460" s="1" t="s">
        <v>130</v>
      </c>
      <c r="E460" s="1" t="s">
        <v>59</v>
      </c>
      <c r="F460" s="1">
        <v>2300000000</v>
      </c>
      <c r="G460" s="1" t="s">
        <v>132</v>
      </c>
      <c r="H460" t="str">
        <f>VLOOKUP(F460,Blad3!$1:$1048576,3,FALSE)</f>
        <v>23000000</v>
      </c>
      <c r="I460" s="13">
        <v>0.21</v>
      </c>
    </row>
    <row r="461" spans="1:9" x14ac:dyDescent="0.25">
      <c r="A461" s="21">
        <v>14</v>
      </c>
      <c r="B461" s="21" t="s">
        <v>73</v>
      </c>
      <c r="C461" s="21"/>
      <c r="D461" s="21" t="s">
        <v>130</v>
      </c>
      <c r="E461" s="21" t="s">
        <v>41</v>
      </c>
      <c r="F461" s="21">
        <v>6103000900</v>
      </c>
      <c r="G461" s="21" t="s">
        <v>131</v>
      </c>
      <c r="H461" t="str">
        <f>VLOOKUP(F461,Blad3!$1:$1048576,3,FALSE)</f>
        <v>61030000</v>
      </c>
      <c r="I461" s="35">
        <v>0.06</v>
      </c>
    </row>
    <row r="462" spans="1:9" x14ac:dyDescent="0.25">
      <c r="A462" s="21">
        <v>14</v>
      </c>
      <c r="B462" s="21" t="s">
        <v>73</v>
      </c>
      <c r="C462" s="21"/>
      <c r="D462" s="21" t="s">
        <v>130</v>
      </c>
      <c r="E462" s="21" t="s">
        <v>59</v>
      </c>
      <c r="F462" s="21">
        <v>2300000000</v>
      </c>
      <c r="G462" s="21" t="s">
        <v>132</v>
      </c>
      <c r="H462" t="str">
        <f>VLOOKUP(F462,Blad3!$1:$1048576,3,FALSE)</f>
        <v>23000000</v>
      </c>
      <c r="I462" s="35">
        <v>0.06</v>
      </c>
    </row>
    <row r="463" spans="1:9" x14ac:dyDescent="0.25">
      <c r="A463" s="41">
        <v>14</v>
      </c>
      <c r="B463" s="41" t="s">
        <v>73</v>
      </c>
      <c r="C463" s="41"/>
      <c r="D463" s="41" t="s">
        <v>137</v>
      </c>
      <c r="E463" s="41" t="s">
        <v>41</v>
      </c>
      <c r="F463" s="41">
        <v>6103000600</v>
      </c>
      <c r="G463" s="41" t="s">
        <v>139</v>
      </c>
      <c r="H463" t="str">
        <f>VLOOKUP(F463,Blad3!$1:$1048576,3,FALSE)</f>
        <v>61030006</v>
      </c>
      <c r="I463" s="51">
        <v>0.06</v>
      </c>
    </row>
    <row r="464" spans="1:9" x14ac:dyDescent="0.25">
      <c r="A464" s="41">
        <v>14</v>
      </c>
      <c r="B464" s="41" t="s">
        <v>73</v>
      </c>
      <c r="C464" s="41"/>
      <c r="D464" s="41" t="s">
        <v>137</v>
      </c>
      <c r="E464" s="41" t="s">
        <v>59</v>
      </c>
      <c r="F464" s="41">
        <v>2231000000</v>
      </c>
      <c r="G464" s="41" t="s">
        <v>61</v>
      </c>
      <c r="H464" t="str">
        <f>VLOOKUP(F464,Blad3!$1:$1048576,3,FALSE)</f>
        <v>22310000</v>
      </c>
      <c r="I464" s="51">
        <v>0.06</v>
      </c>
    </row>
    <row r="465" spans="1:9" x14ac:dyDescent="0.25">
      <c r="A465" s="41">
        <v>14</v>
      </c>
      <c r="B465" s="41" t="s">
        <v>73</v>
      </c>
      <c r="C465" s="41"/>
      <c r="D465" s="41" t="s">
        <v>140</v>
      </c>
      <c r="E465" s="41" t="s">
        <v>41</v>
      </c>
      <c r="F465" s="41">
        <v>6103000600</v>
      </c>
      <c r="G465" s="41" t="s">
        <v>139</v>
      </c>
      <c r="H465" t="str">
        <f>VLOOKUP(F465,Blad3!$1:$1048576,3,FALSE)</f>
        <v>61030006</v>
      </c>
      <c r="I465" s="51">
        <v>0.06</v>
      </c>
    </row>
    <row r="466" spans="1:9" x14ac:dyDescent="0.25">
      <c r="A466" s="41">
        <v>14</v>
      </c>
      <c r="B466" s="41" t="s">
        <v>73</v>
      </c>
      <c r="C466" s="41"/>
      <c r="D466" s="41" t="s">
        <v>140</v>
      </c>
      <c r="E466" s="41" t="s">
        <v>59</v>
      </c>
      <c r="F466" s="41">
        <v>2231000000</v>
      </c>
      <c r="G466" s="41" t="s">
        <v>61</v>
      </c>
      <c r="H466" t="str">
        <f>VLOOKUP(F466,Blad3!$1:$1048576,3,FALSE)</f>
        <v>22310000</v>
      </c>
      <c r="I466" s="51">
        <v>0.06</v>
      </c>
    </row>
    <row r="467" spans="1:9" x14ac:dyDescent="0.25">
      <c r="A467" s="1">
        <v>14</v>
      </c>
      <c r="B467" s="1" t="s">
        <v>73</v>
      </c>
      <c r="C467" s="1"/>
      <c r="D467" s="1" t="s">
        <v>137</v>
      </c>
      <c r="E467" s="1" t="s">
        <v>41</v>
      </c>
      <c r="F467" s="1">
        <v>6103000600</v>
      </c>
      <c r="G467" s="1" t="s">
        <v>139</v>
      </c>
      <c r="H467" t="str">
        <f>VLOOKUP(F467,Blad3!$1:$1048576,3,FALSE)</f>
        <v>61030006</v>
      </c>
      <c r="I467" s="13">
        <v>0.21</v>
      </c>
    </row>
    <row r="468" spans="1:9" x14ac:dyDescent="0.25">
      <c r="A468" s="1">
        <v>14</v>
      </c>
      <c r="B468" s="1" t="s">
        <v>73</v>
      </c>
      <c r="C468" s="1"/>
      <c r="D468" s="1" t="s">
        <v>137</v>
      </c>
      <c r="E468" s="1" t="s">
        <v>59</v>
      </c>
      <c r="F468" s="1">
        <v>2231000000</v>
      </c>
      <c r="G468" s="1" t="s">
        <v>61</v>
      </c>
      <c r="H468" t="str">
        <f>VLOOKUP(F468,Blad3!$1:$1048576,3,FALSE)</f>
        <v>22310000</v>
      </c>
      <c r="I468" s="13">
        <v>0.21</v>
      </c>
    </row>
    <row r="469" spans="1:9" x14ac:dyDescent="0.25">
      <c r="A469" s="1">
        <v>14</v>
      </c>
      <c r="B469" s="1" t="s">
        <v>73</v>
      </c>
      <c r="C469" s="1"/>
      <c r="D469" s="1" t="s">
        <v>140</v>
      </c>
      <c r="E469" s="1" t="s">
        <v>41</v>
      </c>
      <c r="F469" s="1">
        <v>6103000600</v>
      </c>
      <c r="G469" s="1" t="s">
        <v>139</v>
      </c>
      <c r="H469" t="str">
        <f>VLOOKUP(F469,Blad3!$1:$1048576,3,FALSE)</f>
        <v>61030006</v>
      </c>
      <c r="I469" s="13">
        <v>0.21</v>
      </c>
    </row>
    <row r="470" spans="1:9" x14ac:dyDescent="0.25">
      <c r="A470" s="1">
        <v>14</v>
      </c>
      <c r="B470" s="1" t="s">
        <v>73</v>
      </c>
      <c r="C470" s="1"/>
      <c r="D470" s="1" t="s">
        <v>140</v>
      </c>
      <c r="E470" s="1" t="s">
        <v>59</v>
      </c>
      <c r="F470" s="1">
        <v>2231000000</v>
      </c>
      <c r="G470" s="1" t="s">
        <v>61</v>
      </c>
      <c r="H470" t="str">
        <f>VLOOKUP(F470,Blad3!$1:$1048576,3,FALSE)</f>
        <v>22310000</v>
      </c>
      <c r="I470" s="13">
        <v>0.21</v>
      </c>
    </row>
    <row r="471" spans="1:9" x14ac:dyDescent="0.25">
      <c r="A471" s="41">
        <v>14</v>
      </c>
      <c r="B471" s="41" t="s">
        <v>73</v>
      </c>
      <c r="C471" s="41"/>
      <c r="D471" s="41" t="s">
        <v>142</v>
      </c>
      <c r="E471" s="41" t="s">
        <v>41</v>
      </c>
      <c r="F471" s="41">
        <v>6103000600</v>
      </c>
      <c r="G471" s="41" t="s">
        <v>139</v>
      </c>
      <c r="H471" t="str">
        <f>VLOOKUP(F471,Blad3!$1:$1048576,3,FALSE)</f>
        <v>61030006</v>
      </c>
      <c r="I471" s="51">
        <v>0.06</v>
      </c>
    </row>
    <row r="472" spans="1:9" x14ac:dyDescent="0.25">
      <c r="A472" s="41">
        <v>14</v>
      </c>
      <c r="B472" s="41" t="s">
        <v>73</v>
      </c>
      <c r="C472" s="41"/>
      <c r="D472" s="41" t="s">
        <v>142</v>
      </c>
      <c r="E472" s="41" t="s">
        <v>59</v>
      </c>
      <c r="F472" s="41">
        <v>2231000000</v>
      </c>
      <c r="G472" s="41" t="s">
        <v>61</v>
      </c>
      <c r="H472" t="str">
        <f>VLOOKUP(F472,Blad3!$1:$1048576,3,FALSE)</f>
        <v>22310000</v>
      </c>
      <c r="I472" s="51">
        <v>0.06</v>
      </c>
    </row>
    <row r="473" spans="1:9" x14ac:dyDescent="0.25">
      <c r="A473" s="1">
        <v>14</v>
      </c>
      <c r="B473" s="1" t="s">
        <v>73</v>
      </c>
      <c r="C473" s="1"/>
      <c r="D473" s="1" t="s">
        <v>142</v>
      </c>
      <c r="E473" s="1" t="s">
        <v>41</v>
      </c>
      <c r="F473" s="1">
        <v>6103000600</v>
      </c>
      <c r="G473" s="1" t="s">
        <v>139</v>
      </c>
      <c r="H473" t="str">
        <f>VLOOKUP(F473,Blad3!$1:$1048576,3,FALSE)</f>
        <v>61030006</v>
      </c>
      <c r="I473" s="13">
        <v>0.21</v>
      </c>
    </row>
    <row r="474" spans="1:9" x14ac:dyDescent="0.25">
      <c r="A474" s="1">
        <v>14</v>
      </c>
      <c r="B474" s="1" t="s">
        <v>73</v>
      </c>
      <c r="C474" s="1"/>
      <c r="D474" s="1" t="s">
        <v>142</v>
      </c>
      <c r="E474" s="1" t="s">
        <v>59</v>
      </c>
      <c r="F474" s="1">
        <v>2231000000</v>
      </c>
      <c r="G474" s="1" t="s">
        <v>61</v>
      </c>
      <c r="H474" t="str">
        <f>VLOOKUP(F474,Blad3!$1:$1048576,3,FALSE)</f>
        <v>22310000</v>
      </c>
      <c r="I474" s="13">
        <v>0.21</v>
      </c>
    </row>
    <row r="475" spans="1:9" x14ac:dyDescent="0.25">
      <c r="A475" s="1">
        <v>14</v>
      </c>
      <c r="B475" s="1" t="s">
        <v>73</v>
      </c>
      <c r="C475" s="1"/>
      <c r="D475" s="1" t="s">
        <v>143</v>
      </c>
      <c r="E475" s="1" t="s">
        <v>41</v>
      </c>
      <c r="F475" s="1">
        <v>6145000100</v>
      </c>
      <c r="G475" s="1" t="s">
        <v>144</v>
      </c>
      <c r="H475" t="str">
        <f>VLOOKUP(F475,Blad3!$1:$1048576,3,FALSE)</f>
        <v>61450000</v>
      </c>
      <c r="I475" s="13">
        <v>0.21</v>
      </c>
    </row>
    <row r="476" spans="1:9" x14ac:dyDescent="0.25">
      <c r="A476" s="1">
        <v>14</v>
      </c>
      <c r="B476" s="1" t="s">
        <v>73</v>
      </c>
      <c r="C476" s="1"/>
      <c r="D476" s="1" t="s">
        <v>143</v>
      </c>
      <c r="E476" s="1" t="s">
        <v>59</v>
      </c>
      <c r="F476" s="1">
        <v>2301000000</v>
      </c>
      <c r="G476" s="1" t="s">
        <v>76</v>
      </c>
      <c r="H476" t="str">
        <f>VLOOKUP(F476,Blad3!$1:$1048576,3,FALSE)</f>
        <v>23010000</v>
      </c>
      <c r="I476" s="13">
        <v>0.21</v>
      </c>
    </row>
    <row r="477" spans="1:9" x14ac:dyDescent="0.25">
      <c r="A477" s="41">
        <v>14</v>
      </c>
      <c r="B477" s="41" t="s">
        <v>73</v>
      </c>
      <c r="C477" s="41"/>
      <c r="D477" s="41" t="s">
        <v>222</v>
      </c>
      <c r="E477" s="41" t="s">
        <v>41</v>
      </c>
      <c r="F477" s="41">
        <v>6103000700</v>
      </c>
      <c r="G477" s="41" t="s">
        <v>223</v>
      </c>
      <c r="H477" t="str">
        <f>VLOOKUP(F477,Blad3!$1:$1048576,3,FALSE)</f>
        <v>61030007</v>
      </c>
      <c r="I477" s="51">
        <v>0.06</v>
      </c>
    </row>
    <row r="478" spans="1:9" x14ac:dyDescent="0.25">
      <c r="A478" s="41">
        <v>14</v>
      </c>
      <c r="B478" s="41" t="s">
        <v>73</v>
      </c>
      <c r="C478" s="41"/>
      <c r="D478" s="41" t="s">
        <v>222</v>
      </c>
      <c r="E478" s="41" t="s">
        <v>59</v>
      </c>
      <c r="F478" s="41">
        <v>2231000000</v>
      </c>
      <c r="G478" s="41" t="s">
        <v>61</v>
      </c>
      <c r="H478" t="str">
        <f>VLOOKUP(F478,Blad3!$1:$1048576,3,FALSE)</f>
        <v>22310000</v>
      </c>
      <c r="I478" s="51">
        <v>0.06</v>
      </c>
    </row>
    <row r="479" spans="1:9" x14ac:dyDescent="0.25">
      <c r="A479" s="21">
        <v>14</v>
      </c>
      <c r="B479" s="21" t="s">
        <v>73</v>
      </c>
      <c r="C479" s="21"/>
      <c r="D479" s="21" t="s">
        <v>222</v>
      </c>
      <c r="E479" s="21" t="s">
        <v>41</v>
      </c>
      <c r="F479" s="21">
        <v>6103000700</v>
      </c>
      <c r="G479" s="21" t="s">
        <v>223</v>
      </c>
      <c r="H479" t="str">
        <f>VLOOKUP(F479,Blad3!$1:$1048576,3,FALSE)</f>
        <v>61030007</v>
      </c>
      <c r="I479" s="26">
        <v>0.21</v>
      </c>
    </row>
    <row r="480" spans="1:9" x14ac:dyDescent="0.25">
      <c r="A480" s="21">
        <v>14</v>
      </c>
      <c r="B480" s="21" t="s">
        <v>73</v>
      </c>
      <c r="C480" s="21"/>
      <c r="D480" s="21" t="s">
        <v>222</v>
      </c>
      <c r="E480" s="21" t="s">
        <v>59</v>
      </c>
      <c r="F480" s="24">
        <v>2231000000</v>
      </c>
      <c r="G480" s="24" t="s">
        <v>61</v>
      </c>
      <c r="H480" t="str">
        <f>VLOOKUP(F480,Blad3!$1:$1048576,3,FALSE)</f>
        <v>22310000</v>
      </c>
      <c r="I480" s="26">
        <v>0.21</v>
      </c>
    </row>
    <row r="481" spans="1:9" x14ac:dyDescent="0.25">
      <c r="A481" s="39">
        <v>14</v>
      </c>
      <c r="B481" s="39" t="s">
        <v>73</v>
      </c>
      <c r="C481" s="39"/>
      <c r="D481" s="39" t="s">
        <v>217</v>
      </c>
      <c r="E481" s="39" t="s">
        <v>41</v>
      </c>
      <c r="F481" s="39">
        <v>6103000900</v>
      </c>
      <c r="G481" s="39" t="s">
        <v>131</v>
      </c>
      <c r="H481" t="str">
        <f>VLOOKUP(F481,Blad3!$1:$1048576,3,FALSE)</f>
        <v>61030000</v>
      </c>
      <c r="I481" s="70">
        <v>0.21</v>
      </c>
    </row>
    <row r="482" spans="1:9" x14ac:dyDescent="0.25">
      <c r="A482" s="39">
        <v>14</v>
      </c>
      <c r="B482" s="39" t="s">
        <v>73</v>
      </c>
      <c r="C482" s="39"/>
      <c r="D482" s="39" t="s">
        <v>217</v>
      </c>
      <c r="E482" s="39" t="s">
        <v>59</v>
      </c>
      <c r="F482" s="39">
        <v>2231000000</v>
      </c>
      <c r="G482" s="39" t="s">
        <v>61</v>
      </c>
      <c r="H482" t="str">
        <f>VLOOKUP(F482,Blad3!$1:$1048576,3,FALSE)</f>
        <v>22310000</v>
      </c>
      <c r="I482" s="70">
        <v>0.21</v>
      </c>
    </row>
    <row r="483" spans="1:9" x14ac:dyDescent="0.25">
      <c r="A483" s="1">
        <v>14</v>
      </c>
      <c r="B483" s="1" t="s">
        <v>73</v>
      </c>
      <c r="C483" s="1"/>
      <c r="D483" s="1" t="s">
        <v>228</v>
      </c>
      <c r="E483" s="1" t="s">
        <v>41</v>
      </c>
      <c r="F483" s="1">
        <v>6141100100</v>
      </c>
      <c r="G483" s="1" t="s">
        <v>66</v>
      </c>
      <c r="H483" t="str">
        <f>VLOOKUP(F483,Blad3!$1:$1048576,3,FALSE)</f>
        <v>61411000</v>
      </c>
      <c r="I483" s="13">
        <v>0.06</v>
      </c>
    </row>
    <row r="484" spans="1:9" x14ac:dyDescent="0.25">
      <c r="A484" s="1">
        <v>14</v>
      </c>
      <c r="B484" s="1" t="s">
        <v>73</v>
      </c>
      <c r="C484" s="1"/>
      <c r="D484" s="1" t="s">
        <v>228</v>
      </c>
      <c r="E484" s="1" t="s">
        <v>59</v>
      </c>
      <c r="F484" s="1">
        <v>2301000000</v>
      </c>
      <c r="G484" s="1" t="s">
        <v>76</v>
      </c>
      <c r="H484" t="str">
        <f>VLOOKUP(F484,Blad3!$1:$1048576,3,FALSE)</f>
        <v>23010000</v>
      </c>
      <c r="I484" s="13">
        <v>0.06</v>
      </c>
    </row>
    <row r="485" spans="1:9" x14ac:dyDescent="0.25">
      <c r="A485" s="1">
        <v>14</v>
      </c>
      <c r="B485" s="1" t="s">
        <v>73</v>
      </c>
      <c r="C485" s="1"/>
      <c r="D485" s="1" t="s">
        <v>230</v>
      </c>
      <c r="E485" s="1" t="s">
        <v>41</v>
      </c>
      <c r="F485" s="1">
        <v>6141100100</v>
      </c>
      <c r="G485" s="1" t="s">
        <v>66</v>
      </c>
      <c r="H485" t="str">
        <f>VLOOKUP(F485,Blad3!$1:$1048576,3,FALSE)</f>
        <v>61411000</v>
      </c>
      <c r="I485" s="13">
        <v>0.21</v>
      </c>
    </row>
    <row r="486" spans="1:9" x14ac:dyDescent="0.25">
      <c r="A486" s="1">
        <v>14</v>
      </c>
      <c r="B486" s="1" t="s">
        <v>73</v>
      </c>
      <c r="C486" s="1"/>
      <c r="D486" s="1" t="s">
        <v>230</v>
      </c>
      <c r="E486" s="1" t="s">
        <v>59</v>
      </c>
      <c r="F486" s="1">
        <v>2301000000</v>
      </c>
      <c r="G486" s="1" t="s">
        <v>76</v>
      </c>
      <c r="H486" t="str">
        <f>VLOOKUP(F486,Blad3!$1:$1048576,3,FALSE)</f>
        <v>23010000</v>
      </c>
      <c r="I486" s="13">
        <v>0.21</v>
      </c>
    </row>
    <row r="487" spans="1:9" x14ac:dyDescent="0.25">
      <c r="A487" s="41">
        <v>14</v>
      </c>
      <c r="B487" s="41" t="s">
        <v>73</v>
      </c>
      <c r="C487" s="41"/>
      <c r="D487" s="41" t="s">
        <v>228</v>
      </c>
      <c r="E487" s="41" t="s">
        <v>41</v>
      </c>
      <c r="F487" s="41">
        <v>6141100100</v>
      </c>
      <c r="G487" s="41" t="s">
        <v>66</v>
      </c>
      <c r="H487" t="str">
        <f>VLOOKUP(F487,Blad3!$1:$1048576,3,FALSE)</f>
        <v>61411000</v>
      </c>
      <c r="I487" s="51">
        <v>0.21</v>
      </c>
    </row>
    <row r="488" spans="1:9" x14ac:dyDescent="0.25">
      <c r="A488" s="41">
        <v>14</v>
      </c>
      <c r="B488" s="41" t="s">
        <v>73</v>
      </c>
      <c r="C488" s="41"/>
      <c r="D488" s="41" t="s">
        <v>228</v>
      </c>
      <c r="E488" s="41" t="s">
        <v>59</v>
      </c>
      <c r="F488" s="41">
        <v>2301000000</v>
      </c>
      <c r="G488" s="41" t="s">
        <v>76</v>
      </c>
      <c r="H488" t="str">
        <f>VLOOKUP(F488,Blad3!$1:$1048576,3,FALSE)</f>
        <v>23010000</v>
      </c>
      <c r="I488" s="51">
        <v>0.21</v>
      </c>
    </row>
    <row r="489" spans="1:9" x14ac:dyDescent="0.25">
      <c r="A489" s="41">
        <v>14</v>
      </c>
      <c r="B489" s="41" t="s">
        <v>73</v>
      </c>
      <c r="C489" s="41"/>
      <c r="D489" s="41" t="s">
        <v>230</v>
      </c>
      <c r="E489" s="41" t="s">
        <v>41</v>
      </c>
      <c r="F489" s="41">
        <v>6141100100</v>
      </c>
      <c r="G489" s="41" t="s">
        <v>66</v>
      </c>
      <c r="H489" t="str">
        <f>VLOOKUP(F489,Blad3!$1:$1048576,3,FALSE)</f>
        <v>61411000</v>
      </c>
      <c r="I489" s="51">
        <v>0.06</v>
      </c>
    </row>
    <row r="490" spans="1:9" x14ac:dyDescent="0.25">
      <c r="A490" s="41">
        <v>14</v>
      </c>
      <c r="B490" s="41" t="s">
        <v>73</v>
      </c>
      <c r="C490" s="41"/>
      <c r="D490" s="41" t="s">
        <v>230</v>
      </c>
      <c r="E490" s="41" t="s">
        <v>59</v>
      </c>
      <c r="F490" s="41">
        <v>2301000000</v>
      </c>
      <c r="G490" s="41" t="s">
        <v>76</v>
      </c>
      <c r="H490" t="str">
        <f>VLOOKUP(F490,Blad3!$1:$1048576,3,FALSE)</f>
        <v>23010000</v>
      </c>
      <c r="I490" s="51">
        <v>0.06</v>
      </c>
    </row>
    <row r="491" spans="1:9" x14ac:dyDescent="0.25">
      <c r="A491" s="1">
        <v>14</v>
      </c>
      <c r="B491" s="1" t="s">
        <v>73</v>
      </c>
      <c r="C491" s="1"/>
      <c r="D491" s="1" t="s">
        <v>235</v>
      </c>
      <c r="E491" s="1" t="s">
        <v>41</v>
      </c>
      <c r="F491" s="1">
        <v>6103000900</v>
      </c>
      <c r="G491" s="1" t="s">
        <v>131</v>
      </c>
      <c r="H491" t="str">
        <f>VLOOKUP(F491,Blad3!$1:$1048576,3,FALSE)</f>
        <v>61030000</v>
      </c>
      <c r="I491" s="13">
        <v>0.21</v>
      </c>
    </row>
    <row r="492" spans="1:9" x14ac:dyDescent="0.25">
      <c r="A492" s="1">
        <v>14</v>
      </c>
      <c r="B492" s="1" t="s">
        <v>73</v>
      </c>
      <c r="C492" s="1"/>
      <c r="D492" s="1" t="s">
        <v>235</v>
      </c>
      <c r="E492" s="1" t="s">
        <v>59</v>
      </c>
      <c r="F492" s="1">
        <v>2300000000</v>
      </c>
      <c r="G492" s="1" t="s">
        <v>132</v>
      </c>
      <c r="H492" t="str">
        <f>VLOOKUP(F492,Blad3!$1:$1048576,3,FALSE)</f>
        <v>23000000</v>
      </c>
      <c r="I492" s="13">
        <v>0.21</v>
      </c>
    </row>
    <row r="493" spans="1:9" x14ac:dyDescent="0.25">
      <c r="A493" s="1">
        <v>14</v>
      </c>
      <c r="B493" s="1" t="s">
        <v>73</v>
      </c>
      <c r="D493" s="1" t="s">
        <v>481</v>
      </c>
      <c r="E493" s="1" t="s">
        <v>41</v>
      </c>
      <c r="F493" s="1">
        <v>6142100200</v>
      </c>
      <c r="G493" s="1" t="s">
        <v>482</v>
      </c>
      <c r="H493" t="str">
        <f>VLOOKUP(F493,Blad3!$1:$1048576,3,FALSE)</f>
        <v>61420002</v>
      </c>
      <c r="I493" s="13">
        <v>0.21</v>
      </c>
    </row>
    <row r="494" spans="1:9" x14ac:dyDescent="0.25">
      <c r="A494" s="1">
        <v>14</v>
      </c>
      <c r="B494" s="1" t="s">
        <v>73</v>
      </c>
      <c r="D494" s="1" t="s">
        <v>465</v>
      </c>
      <c r="E494" s="1" t="s">
        <v>59</v>
      </c>
      <c r="F494" s="1">
        <v>2301000000</v>
      </c>
      <c r="G494" s="1" t="s">
        <v>76</v>
      </c>
      <c r="H494" t="str">
        <f>VLOOKUP(F494,Blad3!$1:$1048576,3,FALSE)</f>
        <v>23010000</v>
      </c>
      <c r="I494" s="13">
        <v>0.21</v>
      </c>
    </row>
    <row r="495" spans="1:9" x14ac:dyDescent="0.25">
      <c r="A495" s="1">
        <v>14</v>
      </c>
      <c r="B495" s="1" t="s">
        <v>73</v>
      </c>
      <c r="D495" s="1" t="s">
        <v>647</v>
      </c>
      <c r="E495" s="1" t="s">
        <v>59</v>
      </c>
      <c r="F495" s="1">
        <v>2410000000</v>
      </c>
      <c r="G495" s="1" t="s">
        <v>72</v>
      </c>
      <c r="H495" t="str">
        <f>VLOOKUP(F495,Blad3!$1:$1048576,3,FALSE)</f>
        <v>24100000</v>
      </c>
      <c r="I495" s="13">
        <v>0.21</v>
      </c>
    </row>
    <row r="496" spans="1:9" x14ac:dyDescent="0.25">
      <c r="A496" s="1">
        <v>14</v>
      </c>
      <c r="B496" s="1" t="s">
        <v>73</v>
      </c>
      <c r="D496" s="1" t="s">
        <v>484</v>
      </c>
      <c r="E496" s="1" t="s">
        <v>41</v>
      </c>
      <c r="F496" s="1">
        <v>6142000200</v>
      </c>
      <c r="G496" s="1" t="s">
        <v>485</v>
      </c>
      <c r="H496" t="str">
        <f>VLOOKUP(F496,Blad3!$1:$1048576,3,FALSE)</f>
        <v>61420200</v>
      </c>
      <c r="I496" s="13">
        <v>0.21</v>
      </c>
    </row>
    <row r="497" spans="1:9" x14ac:dyDescent="0.25">
      <c r="A497" s="1">
        <v>14</v>
      </c>
      <c r="B497" s="1" t="s">
        <v>73</v>
      </c>
      <c r="D497" s="1" t="s">
        <v>648</v>
      </c>
      <c r="E497" s="1" t="s">
        <v>41</v>
      </c>
      <c r="F497" s="1">
        <v>6141100100</v>
      </c>
      <c r="G497" s="1" t="s">
        <v>66</v>
      </c>
      <c r="H497" t="str">
        <f>VLOOKUP(F497,Blad3!$1:$1048576,3,FALSE)</f>
        <v>61411000</v>
      </c>
      <c r="I497" s="13">
        <v>0.21</v>
      </c>
    </row>
    <row r="498" spans="1:9" x14ac:dyDescent="0.25">
      <c r="A498" s="1">
        <v>14</v>
      </c>
      <c r="B498" s="1" t="s">
        <v>73</v>
      </c>
      <c r="D498" s="1" t="s">
        <v>649</v>
      </c>
      <c r="E498" s="1" t="s">
        <v>41</v>
      </c>
      <c r="F498" s="1">
        <v>6141100100</v>
      </c>
      <c r="G498" s="1" t="s">
        <v>66</v>
      </c>
      <c r="H498" t="str">
        <f>VLOOKUP(F498,Blad3!$1:$1048576,3,FALSE)</f>
        <v>61411000</v>
      </c>
      <c r="I498" s="13">
        <v>0.21</v>
      </c>
    </row>
    <row r="499" spans="1:9" x14ac:dyDescent="0.25">
      <c r="A499" s="1">
        <v>14</v>
      </c>
      <c r="B499" s="1" t="s">
        <v>73</v>
      </c>
      <c r="D499" s="1" t="s">
        <v>650</v>
      </c>
      <c r="E499" s="1" t="s">
        <v>41</v>
      </c>
      <c r="F499" s="1">
        <v>6141100100</v>
      </c>
      <c r="G499" s="1" t="s">
        <v>66</v>
      </c>
      <c r="H499" t="str">
        <f>VLOOKUP(F499,Blad3!$1:$1048576,3,FALSE)</f>
        <v>61411000</v>
      </c>
      <c r="I499" s="13">
        <v>0.21</v>
      </c>
    </row>
    <row r="500" spans="1:9" x14ac:dyDescent="0.25">
      <c r="A500" s="1">
        <v>14</v>
      </c>
      <c r="B500" s="1" t="s">
        <v>73</v>
      </c>
      <c r="D500" s="1" t="s">
        <v>651</v>
      </c>
      <c r="E500" s="1" t="s">
        <v>41</v>
      </c>
      <c r="F500" s="1">
        <v>6141000100</v>
      </c>
      <c r="G500" s="1" t="s">
        <v>92</v>
      </c>
      <c r="H500" t="str">
        <f>VLOOKUP(F500,Blad3!$1:$1048576,3,FALSE)</f>
        <v>61410000</v>
      </c>
      <c r="I500" s="13">
        <v>0.21</v>
      </c>
    </row>
    <row r="501" spans="1:9" x14ac:dyDescent="0.25">
      <c r="A501" s="1">
        <v>14</v>
      </c>
      <c r="B501" s="1" t="s">
        <v>73</v>
      </c>
      <c r="D501" s="1" t="s">
        <v>652</v>
      </c>
      <c r="E501" s="1" t="s">
        <v>59</v>
      </c>
      <c r="F501" s="1">
        <v>2110000000</v>
      </c>
      <c r="G501" s="1" t="s">
        <v>100</v>
      </c>
      <c r="H501" t="str">
        <f>VLOOKUP(F501,Blad3!$1:$1048576,3,FALSE)</f>
        <v>21100000</v>
      </c>
      <c r="I501" s="13">
        <v>0.21</v>
      </c>
    </row>
    <row r="502" spans="1:9" x14ac:dyDescent="0.25">
      <c r="A502" s="1">
        <v>14</v>
      </c>
      <c r="B502" s="1" t="s">
        <v>73</v>
      </c>
      <c r="D502" s="1" t="s">
        <v>654</v>
      </c>
      <c r="E502" s="1" t="s">
        <v>41</v>
      </c>
      <c r="F502" s="1">
        <v>6152000600</v>
      </c>
      <c r="G502" s="1" t="s">
        <v>118</v>
      </c>
      <c r="H502" t="str">
        <f>VLOOKUP(F502,Blad3!$1:$1048576,3,FALSE)</f>
        <v>61560000</v>
      </c>
      <c r="I502" s="13">
        <v>0.21</v>
      </c>
    </row>
    <row r="503" spans="1:9" x14ac:dyDescent="0.25">
      <c r="A503" s="1">
        <v>14</v>
      </c>
      <c r="B503" s="1" t="s">
        <v>73</v>
      </c>
      <c r="D503" s="1" t="s">
        <v>655</v>
      </c>
      <c r="E503" s="1" t="s">
        <v>41</v>
      </c>
      <c r="F503" s="1">
        <v>6103000400</v>
      </c>
      <c r="G503" s="1" t="s">
        <v>656</v>
      </c>
      <c r="H503" t="str">
        <f>VLOOKUP(F503,Blad3!$1:$1048576,3,FALSE)</f>
        <v>61030004</v>
      </c>
      <c r="I503" s="13">
        <v>0.21</v>
      </c>
    </row>
    <row r="504" spans="1:9" x14ac:dyDescent="0.25">
      <c r="A504" s="1">
        <v>14</v>
      </c>
      <c r="B504" s="1" t="s">
        <v>73</v>
      </c>
      <c r="D504" s="1" t="s">
        <v>657</v>
      </c>
      <c r="E504" s="1" t="s">
        <v>41</v>
      </c>
      <c r="F504" s="1">
        <v>6103000300</v>
      </c>
      <c r="G504" s="1" t="s">
        <v>658</v>
      </c>
      <c r="H504" t="str">
        <f>VLOOKUP(F504,Blad3!$1:$1048576,3,FALSE)</f>
        <v>61030000</v>
      </c>
      <c r="I504" s="13">
        <v>0.21</v>
      </c>
    </row>
    <row r="505" spans="1:9" x14ac:dyDescent="0.25">
      <c r="A505" s="21">
        <v>14</v>
      </c>
      <c r="B505" s="21" t="s">
        <v>73</v>
      </c>
      <c r="D505" s="21" t="s">
        <v>657</v>
      </c>
      <c r="E505" s="21" t="s">
        <v>41</v>
      </c>
      <c r="F505" s="21">
        <v>6103000300</v>
      </c>
      <c r="G505" s="21" t="s">
        <v>658</v>
      </c>
      <c r="H505" t="str">
        <f>VLOOKUP(F505,Blad3!$1:$1048576,3,FALSE)</f>
        <v>61030000</v>
      </c>
      <c r="I505" s="35">
        <v>0.06</v>
      </c>
    </row>
    <row r="506" spans="1:9" x14ac:dyDescent="0.25">
      <c r="A506" s="1">
        <v>14</v>
      </c>
      <c r="B506" s="1" t="s">
        <v>73</v>
      </c>
      <c r="D506" s="1" t="s">
        <v>659</v>
      </c>
      <c r="E506" s="1" t="s">
        <v>41</v>
      </c>
      <c r="F506" s="1">
        <v>6144000200</v>
      </c>
      <c r="G506" s="1" t="s">
        <v>469</v>
      </c>
      <c r="H506" t="str">
        <f>VLOOKUP(F506,Blad3!$1:$1048576,3,FALSE)</f>
        <v>61410000</v>
      </c>
      <c r="I506" s="13">
        <v>0.21</v>
      </c>
    </row>
    <row r="507" spans="1:9" x14ac:dyDescent="0.25">
      <c r="A507" s="1">
        <v>14</v>
      </c>
      <c r="B507" s="1" t="s">
        <v>73</v>
      </c>
      <c r="D507" s="1" t="s">
        <v>660</v>
      </c>
      <c r="E507" s="1" t="s">
        <v>41</v>
      </c>
      <c r="F507" s="1">
        <v>6103001000</v>
      </c>
      <c r="G507" s="1" t="s">
        <v>660</v>
      </c>
      <c r="H507" t="str">
        <f>VLOOKUP(F507,Blad3!$1:$1048576,3,FALSE)</f>
        <v>61030009</v>
      </c>
      <c r="I507" s="13">
        <v>0.21</v>
      </c>
    </row>
    <row r="508" spans="1:9" x14ac:dyDescent="0.25">
      <c r="A508" s="1">
        <v>14</v>
      </c>
      <c r="B508" s="1" t="s">
        <v>73</v>
      </c>
      <c r="D508" s="1" t="s">
        <v>661</v>
      </c>
      <c r="E508" s="1" t="s">
        <v>41</v>
      </c>
      <c r="F508" s="1">
        <v>6103000400</v>
      </c>
      <c r="G508" s="1" t="s">
        <v>656</v>
      </c>
      <c r="H508" t="str">
        <f>VLOOKUP(F508,Blad3!$1:$1048576,3,FALSE)</f>
        <v>61030004</v>
      </c>
      <c r="I508" s="13">
        <v>0.21</v>
      </c>
    </row>
    <row r="509" spans="1:9" x14ac:dyDescent="0.25">
      <c r="A509" s="41">
        <v>14</v>
      </c>
      <c r="B509" s="41" t="s">
        <v>73</v>
      </c>
      <c r="D509" s="41" t="s">
        <v>661</v>
      </c>
      <c r="E509" s="41" t="s">
        <v>41</v>
      </c>
      <c r="F509" s="41">
        <v>6103000400</v>
      </c>
      <c r="G509" s="41" t="s">
        <v>656</v>
      </c>
      <c r="H509" t="str">
        <f>VLOOKUP(F509,Blad3!$1:$1048576,3,FALSE)</f>
        <v>61030004</v>
      </c>
      <c r="I509" s="51">
        <v>0.06</v>
      </c>
    </row>
    <row r="510" spans="1:9" x14ac:dyDescent="0.25">
      <c r="A510" s="1">
        <v>14</v>
      </c>
      <c r="B510" s="1" t="s">
        <v>73</v>
      </c>
      <c r="D510" s="1" t="s">
        <v>495</v>
      </c>
      <c r="E510" s="1" t="s">
        <v>41</v>
      </c>
      <c r="F510" s="1">
        <v>6142100400</v>
      </c>
      <c r="G510" s="1" t="s">
        <v>496</v>
      </c>
      <c r="H510" t="str">
        <f>VLOOKUP(F510,Blad3!$1:$1048576,3,FALSE)</f>
        <v>61420004</v>
      </c>
      <c r="I510" s="13">
        <v>0.21</v>
      </c>
    </row>
    <row r="511" spans="1:9" x14ac:dyDescent="0.25">
      <c r="A511" s="1">
        <v>14</v>
      </c>
      <c r="B511" s="1" t="s">
        <v>73</v>
      </c>
      <c r="D511" s="1" t="s">
        <v>498</v>
      </c>
      <c r="E511" s="1" t="s">
        <v>41</v>
      </c>
      <c r="F511" s="1">
        <v>6142100300</v>
      </c>
      <c r="G511" s="1" t="s">
        <v>499</v>
      </c>
      <c r="H511" t="str">
        <f>VLOOKUP(F511,Blad3!$1:$1048576,3,FALSE)</f>
        <v>61420003</v>
      </c>
      <c r="I511" s="13">
        <v>0.21</v>
      </c>
    </row>
    <row r="512" spans="1:9" x14ac:dyDescent="0.25">
      <c r="A512" s="1">
        <v>14</v>
      </c>
      <c r="B512" s="1" t="s">
        <v>73</v>
      </c>
      <c r="D512" s="1" t="s">
        <v>500</v>
      </c>
      <c r="E512" s="1" t="s">
        <v>41</v>
      </c>
      <c r="F512" s="1">
        <v>6147000100</v>
      </c>
      <c r="G512" s="1" t="s">
        <v>501</v>
      </c>
      <c r="H512" t="str">
        <f>VLOOKUP(F512,Blad3!$1:$1048576,3,FALSE)</f>
        <v>61410000</v>
      </c>
      <c r="I512" s="13">
        <v>0.21</v>
      </c>
    </row>
    <row r="513" spans="1:9" x14ac:dyDescent="0.25">
      <c r="A513" s="1">
        <v>14</v>
      </c>
      <c r="B513" s="1" t="s">
        <v>73</v>
      </c>
      <c r="D513" s="1" t="s">
        <v>665</v>
      </c>
      <c r="E513" s="1" t="s">
        <v>41</v>
      </c>
      <c r="F513" s="1">
        <v>6103000500</v>
      </c>
      <c r="G513" s="1" t="s">
        <v>479</v>
      </c>
      <c r="H513" t="str">
        <f>VLOOKUP(F513,Blad3!$1:$1048576,3,FALSE)</f>
        <v>61030005</v>
      </c>
      <c r="I513" s="13">
        <v>0.21</v>
      </c>
    </row>
    <row r="514" spans="1:9" x14ac:dyDescent="0.25">
      <c r="A514" s="1">
        <v>14</v>
      </c>
      <c r="B514" s="1" t="s">
        <v>73</v>
      </c>
      <c r="D514" s="1" t="s">
        <v>623</v>
      </c>
      <c r="E514" s="1" t="s">
        <v>619</v>
      </c>
      <c r="F514" s="1">
        <v>6400000600</v>
      </c>
      <c r="G514" s="1" t="s">
        <v>623</v>
      </c>
      <c r="H514" t="str">
        <f>VLOOKUP(F514,Blad3!$1:$1048576,3,FALSE)</f>
        <v>64000000</v>
      </c>
      <c r="I514" s="13">
        <v>0</v>
      </c>
    </row>
    <row r="515" spans="1:9" x14ac:dyDescent="0.25">
      <c r="A515" s="1">
        <v>14</v>
      </c>
      <c r="B515" s="1" t="s">
        <v>73</v>
      </c>
      <c r="D515" s="1" t="s">
        <v>666</v>
      </c>
      <c r="E515" s="1" t="s">
        <v>619</v>
      </c>
      <c r="F515" s="1">
        <v>6400000500</v>
      </c>
      <c r="G515" s="1" t="s">
        <v>631</v>
      </c>
      <c r="H515" t="str">
        <f>VLOOKUP(F515,Blad3!$1:$1048576,3,FALSE)</f>
        <v>64000000</v>
      </c>
      <c r="I515" s="13">
        <v>0</v>
      </c>
    </row>
  </sheetData>
  <autoFilter ref="A1:AL515" xr:uid="{A7A59B40-C372-4EF9-A18E-BB7B72CB8C0F}"/>
  <sortState xmlns:xlrd2="http://schemas.microsoft.com/office/spreadsheetml/2017/richdata2" ref="A2:I515">
    <sortCondition ref="A2:A5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4009-EFFF-4E19-B078-49EABE9949D9}">
  <dimension ref="A1:C161"/>
  <sheetViews>
    <sheetView workbookViewId="0">
      <selection sqref="A1:C161"/>
    </sheetView>
  </sheetViews>
  <sheetFormatPr defaultRowHeight="15" x14ac:dyDescent="0.25"/>
  <cols>
    <col min="1" max="1" width="19.28515625" bestFit="1" customWidth="1"/>
    <col min="2" max="2" width="20.28515625" bestFit="1" customWidth="1"/>
    <col min="3" max="3" width="14.7109375" bestFit="1" customWidth="1"/>
  </cols>
  <sheetData>
    <row r="1" spans="1:3" x14ac:dyDescent="0.25">
      <c r="A1" s="92" t="s">
        <v>670</v>
      </c>
      <c r="B1" s="92" t="s">
        <v>671</v>
      </c>
      <c r="C1" s="92" t="s">
        <v>668</v>
      </c>
    </row>
    <row r="2" spans="1:3" x14ac:dyDescent="0.25">
      <c r="A2" s="93">
        <v>2110000000</v>
      </c>
      <c r="B2" s="93" t="s">
        <v>100</v>
      </c>
      <c r="C2" s="93" t="s">
        <v>672</v>
      </c>
    </row>
    <row r="3" spans="1:3" x14ac:dyDescent="0.25">
      <c r="A3" s="93">
        <v>2231000000</v>
      </c>
      <c r="B3" s="93" t="s">
        <v>61</v>
      </c>
      <c r="C3" s="93" t="s">
        <v>673</v>
      </c>
    </row>
    <row r="4" spans="1:3" x14ac:dyDescent="0.25">
      <c r="A4" s="93">
        <v>2300000000</v>
      </c>
      <c r="B4" s="93" t="s">
        <v>93</v>
      </c>
      <c r="C4" s="93" t="s">
        <v>674</v>
      </c>
    </row>
    <row r="5" spans="1:3" x14ac:dyDescent="0.25">
      <c r="A5" s="93">
        <v>2301000000</v>
      </c>
      <c r="B5" s="93" t="s">
        <v>76</v>
      </c>
      <c r="C5" s="93" t="s">
        <v>675</v>
      </c>
    </row>
    <row r="6" spans="1:3" x14ac:dyDescent="0.25">
      <c r="A6" s="93">
        <v>2302000000</v>
      </c>
      <c r="B6" s="93" t="s">
        <v>125</v>
      </c>
      <c r="C6" s="93" t="s">
        <v>676</v>
      </c>
    </row>
    <row r="7" spans="1:3" x14ac:dyDescent="0.25">
      <c r="A7" s="93">
        <v>2400000000</v>
      </c>
      <c r="B7" s="93" t="s">
        <v>340</v>
      </c>
      <c r="C7" s="93" t="s">
        <v>677</v>
      </c>
    </row>
    <row r="8" spans="1:3" x14ac:dyDescent="0.25">
      <c r="A8" s="93">
        <v>2402000000</v>
      </c>
      <c r="B8" s="93" t="s">
        <v>98</v>
      </c>
      <c r="C8" s="93" t="s">
        <v>678</v>
      </c>
    </row>
    <row r="9" spans="1:3" x14ac:dyDescent="0.25">
      <c r="A9" s="93">
        <v>2406000000</v>
      </c>
      <c r="B9" s="93" t="s">
        <v>152</v>
      </c>
      <c r="C9" s="93" t="s">
        <v>679</v>
      </c>
    </row>
    <row r="10" spans="1:3" x14ac:dyDescent="0.25">
      <c r="A10" s="93">
        <v>2410000000</v>
      </c>
      <c r="B10" s="93" t="s">
        <v>72</v>
      </c>
      <c r="C10" s="93" t="s">
        <v>680</v>
      </c>
    </row>
    <row r="11" spans="1:3" x14ac:dyDescent="0.25">
      <c r="A11" s="93">
        <v>2420000000</v>
      </c>
      <c r="B11" s="93" t="s">
        <v>195</v>
      </c>
      <c r="C11" s="93" t="s">
        <v>681</v>
      </c>
    </row>
    <row r="12" spans="1:3" x14ac:dyDescent="0.25">
      <c r="A12" s="93">
        <v>2510000000</v>
      </c>
      <c r="B12" s="93" t="s">
        <v>455</v>
      </c>
      <c r="C12" s="93" t="s">
        <v>682</v>
      </c>
    </row>
    <row r="13" spans="1:3" x14ac:dyDescent="0.25">
      <c r="A13" s="93"/>
      <c r="B13" s="93"/>
      <c r="C13" s="93"/>
    </row>
    <row r="14" spans="1:3" x14ac:dyDescent="0.25">
      <c r="A14" s="93"/>
      <c r="B14" s="93"/>
      <c r="C14" s="93"/>
    </row>
    <row r="15" spans="1:3" x14ac:dyDescent="0.25">
      <c r="A15" s="93"/>
      <c r="B15" s="93"/>
      <c r="C15" s="93"/>
    </row>
    <row r="16" spans="1:3" x14ac:dyDescent="0.25">
      <c r="A16" s="93">
        <v>6030000100</v>
      </c>
      <c r="B16" s="93" t="s">
        <v>120</v>
      </c>
      <c r="C16" s="93" t="s">
        <v>683</v>
      </c>
    </row>
    <row r="17" spans="1:3" x14ac:dyDescent="0.25">
      <c r="A17" s="93">
        <v>6030000150</v>
      </c>
      <c r="B17" s="93" t="s">
        <v>243</v>
      </c>
      <c r="C17" s="93" t="s">
        <v>684</v>
      </c>
    </row>
    <row r="18" spans="1:3" x14ac:dyDescent="0.25">
      <c r="A18" s="93">
        <v>6030000200</v>
      </c>
      <c r="B18" s="93" t="s">
        <v>109</v>
      </c>
      <c r="C18" s="93" t="s">
        <v>685</v>
      </c>
    </row>
    <row r="19" spans="1:3" x14ac:dyDescent="0.25">
      <c r="A19" s="93">
        <v>6030000300</v>
      </c>
      <c r="B19" s="93" t="s">
        <v>58</v>
      </c>
      <c r="C19" s="93" t="s">
        <v>686</v>
      </c>
    </row>
    <row r="20" spans="1:3" x14ac:dyDescent="0.25">
      <c r="A20" s="93">
        <v>6100000100</v>
      </c>
      <c r="B20" s="93" t="s">
        <v>415</v>
      </c>
      <c r="C20" s="93" t="s">
        <v>687</v>
      </c>
    </row>
    <row r="21" spans="1:3" x14ac:dyDescent="0.25">
      <c r="A21" s="93">
        <v>6103000300</v>
      </c>
      <c r="B21" s="93" t="s">
        <v>658</v>
      </c>
      <c r="C21" s="93" t="s">
        <v>688</v>
      </c>
    </row>
    <row r="22" spans="1:3" x14ac:dyDescent="0.25">
      <c r="A22" s="93">
        <v>6103000400</v>
      </c>
      <c r="B22" s="93" t="s">
        <v>656</v>
      </c>
      <c r="C22" s="93" t="s">
        <v>689</v>
      </c>
    </row>
    <row r="23" spans="1:3" x14ac:dyDescent="0.25">
      <c r="A23" s="93">
        <v>6103000500</v>
      </c>
      <c r="B23" s="93" t="s">
        <v>479</v>
      </c>
      <c r="C23" s="93" t="s">
        <v>690</v>
      </c>
    </row>
    <row r="24" spans="1:3" x14ac:dyDescent="0.25">
      <c r="A24" s="93">
        <v>6103000600</v>
      </c>
      <c r="B24" s="93" t="s">
        <v>139</v>
      </c>
      <c r="C24" s="93" t="s">
        <v>691</v>
      </c>
    </row>
    <row r="25" spans="1:3" x14ac:dyDescent="0.25">
      <c r="A25" s="93">
        <v>6103000700</v>
      </c>
      <c r="B25" s="93" t="s">
        <v>223</v>
      </c>
      <c r="C25" s="93" t="s">
        <v>692</v>
      </c>
    </row>
    <row r="26" spans="1:3" x14ac:dyDescent="0.25">
      <c r="A26" s="93">
        <v>6103000900</v>
      </c>
      <c r="B26" s="93" t="s">
        <v>131</v>
      </c>
      <c r="C26" s="93" t="s">
        <v>688</v>
      </c>
    </row>
    <row r="27" spans="1:3" x14ac:dyDescent="0.25">
      <c r="A27" s="93">
        <v>6103001000</v>
      </c>
      <c r="B27" s="93" t="s">
        <v>660</v>
      </c>
      <c r="C27" s="93" t="s">
        <v>693</v>
      </c>
    </row>
    <row r="28" spans="1:3" x14ac:dyDescent="0.25">
      <c r="A28" s="93">
        <v>6112000000</v>
      </c>
      <c r="B28" s="93" t="s">
        <v>463</v>
      </c>
      <c r="C28" s="93" t="s">
        <v>694</v>
      </c>
    </row>
    <row r="29" spans="1:3" x14ac:dyDescent="0.25">
      <c r="A29" s="93">
        <v>6120000100</v>
      </c>
      <c r="B29" s="93" t="s">
        <v>609</v>
      </c>
      <c r="C29" s="93" t="s">
        <v>695</v>
      </c>
    </row>
    <row r="30" spans="1:3" x14ac:dyDescent="0.25">
      <c r="A30" s="93">
        <v>6120000200</v>
      </c>
      <c r="B30" s="93" t="s">
        <v>605</v>
      </c>
      <c r="C30" s="93" t="s">
        <v>695</v>
      </c>
    </row>
    <row r="31" spans="1:3" x14ac:dyDescent="0.25">
      <c r="A31" s="93">
        <v>6120000300</v>
      </c>
      <c r="B31" s="93" t="s">
        <v>696</v>
      </c>
      <c r="C31" s="93" t="s">
        <v>695</v>
      </c>
    </row>
    <row r="32" spans="1:3" x14ac:dyDescent="0.25">
      <c r="A32" s="93">
        <v>6120000400</v>
      </c>
      <c r="B32" s="93" t="s">
        <v>697</v>
      </c>
      <c r="C32" s="93" t="s">
        <v>695</v>
      </c>
    </row>
    <row r="33" spans="1:3" x14ac:dyDescent="0.25">
      <c r="A33" s="93">
        <v>6120009000</v>
      </c>
      <c r="B33" s="93" t="s">
        <v>607</v>
      </c>
      <c r="C33" s="93" t="s">
        <v>695</v>
      </c>
    </row>
    <row r="34" spans="1:3" x14ac:dyDescent="0.25">
      <c r="A34" s="93">
        <v>6130000100</v>
      </c>
      <c r="B34" s="93" t="s">
        <v>590</v>
      </c>
      <c r="C34" s="93" t="s">
        <v>698</v>
      </c>
    </row>
    <row r="35" spans="1:3" x14ac:dyDescent="0.25">
      <c r="A35" s="93">
        <v>6130000200</v>
      </c>
      <c r="B35" s="93" t="s">
        <v>592</v>
      </c>
      <c r="C35" s="93" t="s">
        <v>698</v>
      </c>
    </row>
    <row r="36" spans="1:3" x14ac:dyDescent="0.25">
      <c r="A36" s="93">
        <v>6130000300</v>
      </c>
      <c r="B36" s="93" t="s">
        <v>699</v>
      </c>
      <c r="C36" s="93" t="s">
        <v>698</v>
      </c>
    </row>
    <row r="37" spans="1:3" x14ac:dyDescent="0.25">
      <c r="A37" s="93">
        <v>6130000400</v>
      </c>
      <c r="B37" s="93" t="s">
        <v>700</v>
      </c>
      <c r="C37" s="93" t="s">
        <v>698</v>
      </c>
    </row>
    <row r="38" spans="1:3" x14ac:dyDescent="0.25">
      <c r="A38" s="93">
        <v>6130000500</v>
      </c>
      <c r="B38" s="93" t="s">
        <v>601</v>
      </c>
      <c r="C38" s="93" t="s">
        <v>698</v>
      </c>
    </row>
    <row r="39" spans="1:3" x14ac:dyDescent="0.25">
      <c r="A39" s="93">
        <v>6130000600</v>
      </c>
      <c r="B39" s="93" t="s">
        <v>287</v>
      </c>
      <c r="C39" s="93" t="s">
        <v>698</v>
      </c>
    </row>
    <row r="40" spans="1:3" x14ac:dyDescent="0.25">
      <c r="A40" s="93">
        <v>6130000800</v>
      </c>
      <c r="B40" s="93" t="s">
        <v>594</v>
      </c>
      <c r="C40" s="93" t="s">
        <v>698</v>
      </c>
    </row>
    <row r="41" spans="1:3" x14ac:dyDescent="0.25">
      <c r="A41" s="93">
        <v>6130000900</v>
      </c>
      <c r="B41" s="93" t="s">
        <v>615</v>
      </c>
      <c r="C41" s="93" t="s">
        <v>698</v>
      </c>
    </row>
    <row r="42" spans="1:3" x14ac:dyDescent="0.25">
      <c r="A42" s="93">
        <v>6130001000</v>
      </c>
      <c r="B42" s="93" t="s">
        <v>586</v>
      </c>
      <c r="C42" s="93" t="s">
        <v>701</v>
      </c>
    </row>
    <row r="43" spans="1:3" x14ac:dyDescent="0.25">
      <c r="A43" s="93">
        <v>6130001200</v>
      </c>
      <c r="B43" s="93" t="s">
        <v>702</v>
      </c>
      <c r="C43" s="93" t="s">
        <v>698</v>
      </c>
    </row>
    <row r="44" spans="1:3" x14ac:dyDescent="0.25">
      <c r="A44" s="93">
        <v>6130001300</v>
      </c>
      <c r="B44" s="93" t="s">
        <v>703</v>
      </c>
      <c r="C44" s="93" t="s">
        <v>698</v>
      </c>
    </row>
    <row r="45" spans="1:3" x14ac:dyDescent="0.25">
      <c r="A45" s="93">
        <v>6130001400</v>
      </c>
      <c r="B45" s="93" t="s">
        <v>517</v>
      </c>
      <c r="C45" s="93" t="s">
        <v>704</v>
      </c>
    </row>
    <row r="46" spans="1:3" x14ac:dyDescent="0.25">
      <c r="A46" s="93">
        <v>6130001500</v>
      </c>
      <c r="B46" s="93" t="s">
        <v>705</v>
      </c>
      <c r="C46" s="93" t="s">
        <v>698</v>
      </c>
    </row>
    <row r="47" spans="1:3" x14ac:dyDescent="0.25">
      <c r="A47" s="93">
        <v>6130009000</v>
      </c>
      <c r="B47" s="93" t="s">
        <v>289</v>
      </c>
      <c r="C47" s="93" t="s">
        <v>698</v>
      </c>
    </row>
    <row r="48" spans="1:3" x14ac:dyDescent="0.25">
      <c r="A48" s="93">
        <v>6131000100</v>
      </c>
      <c r="B48" s="93" t="s">
        <v>706</v>
      </c>
      <c r="C48" s="93" t="s">
        <v>698</v>
      </c>
    </row>
    <row r="49" spans="1:3" x14ac:dyDescent="0.25">
      <c r="A49" s="93">
        <v>6131000200</v>
      </c>
      <c r="B49" s="93" t="s">
        <v>707</v>
      </c>
      <c r="C49" s="93" t="s">
        <v>698</v>
      </c>
    </row>
    <row r="50" spans="1:3" x14ac:dyDescent="0.25">
      <c r="A50" s="93">
        <v>6131000300</v>
      </c>
      <c r="B50" s="93" t="s">
        <v>708</v>
      </c>
      <c r="C50" s="93" t="s">
        <v>698</v>
      </c>
    </row>
    <row r="51" spans="1:3" x14ac:dyDescent="0.25">
      <c r="A51" s="93">
        <v>6131000400</v>
      </c>
      <c r="B51" s="93" t="s">
        <v>709</v>
      </c>
      <c r="C51" s="93" t="s">
        <v>698</v>
      </c>
    </row>
    <row r="52" spans="1:3" x14ac:dyDescent="0.25">
      <c r="A52" s="93">
        <v>6131000500</v>
      </c>
      <c r="B52" s="93" t="s">
        <v>710</v>
      </c>
      <c r="C52" s="93" t="s">
        <v>698</v>
      </c>
    </row>
    <row r="53" spans="1:3" x14ac:dyDescent="0.25">
      <c r="A53" s="93">
        <v>6131000600</v>
      </c>
      <c r="B53" s="93" t="s">
        <v>598</v>
      </c>
      <c r="C53" s="93" t="s">
        <v>698</v>
      </c>
    </row>
    <row r="54" spans="1:3" x14ac:dyDescent="0.25">
      <c r="A54" s="93">
        <v>6141000100</v>
      </c>
      <c r="B54" s="93" t="s">
        <v>92</v>
      </c>
      <c r="C54" s="93" t="s">
        <v>711</v>
      </c>
    </row>
    <row r="55" spans="1:3" x14ac:dyDescent="0.25">
      <c r="A55" s="93">
        <v>6141100100</v>
      </c>
      <c r="B55" s="93" t="s">
        <v>66</v>
      </c>
      <c r="C55" s="93" t="s">
        <v>712</v>
      </c>
    </row>
    <row r="56" spans="1:3" x14ac:dyDescent="0.25">
      <c r="A56" s="93">
        <v>6141100300</v>
      </c>
      <c r="B56" s="93" t="s">
        <v>349</v>
      </c>
      <c r="C56" s="93" t="s">
        <v>711</v>
      </c>
    </row>
    <row r="57" spans="1:3" x14ac:dyDescent="0.25">
      <c r="A57" s="93">
        <v>6141100400</v>
      </c>
      <c r="B57" s="93" t="s">
        <v>417</v>
      </c>
      <c r="C57" s="93" t="s">
        <v>711</v>
      </c>
    </row>
    <row r="58" spans="1:3" x14ac:dyDescent="0.25">
      <c r="A58" s="93">
        <v>6142000100</v>
      </c>
      <c r="B58" s="93" t="s">
        <v>71</v>
      </c>
      <c r="C58" s="93" t="s">
        <v>713</v>
      </c>
    </row>
    <row r="59" spans="1:3" x14ac:dyDescent="0.25">
      <c r="A59" s="93">
        <v>6142000200</v>
      </c>
      <c r="B59" s="93" t="s">
        <v>485</v>
      </c>
      <c r="C59" s="93" t="s">
        <v>714</v>
      </c>
    </row>
    <row r="60" spans="1:3" x14ac:dyDescent="0.25">
      <c r="A60" s="93">
        <v>6142100200</v>
      </c>
      <c r="B60" s="93" t="s">
        <v>482</v>
      </c>
      <c r="C60" s="93" t="s">
        <v>715</v>
      </c>
    </row>
    <row r="61" spans="1:3" x14ac:dyDescent="0.25">
      <c r="A61" s="93">
        <v>6142100300</v>
      </c>
      <c r="B61" s="93" t="s">
        <v>499</v>
      </c>
      <c r="C61" s="93" t="s">
        <v>716</v>
      </c>
    </row>
    <row r="62" spans="1:3" x14ac:dyDescent="0.25">
      <c r="A62" s="93">
        <v>6142100400</v>
      </c>
      <c r="B62" s="93" t="s">
        <v>496</v>
      </c>
      <c r="C62" s="93" t="s">
        <v>717</v>
      </c>
    </row>
    <row r="63" spans="1:3" x14ac:dyDescent="0.25">
      <c r="A63" s="93">
        <v>6144000200</v>
      </c>
      <c r="B63" s="93" t="s">
        <v>469</v>
      </c>
      <c r="C63" s="93" t="s">
        <v>711</v>
      </c>
    </row>
    <row r="64" spans="1:3" x14ac:dyDescent="0.25">
      <c r="A64" s="93">
        <v>6144000400</v>
      </c>
      <c r="B64" s="93" t="s">
        <v>470</v>
      </c>
      <c r="C64" s="93" t="s">
        <v>711</v>
      </c>
    </row>
    <row r="65" spans="1:3" x14ac:dyDescent="0.25">
      <c r="A65" s="93">
        <v>6145000100</v>
      </c>
      <c r="B65" s="93" t="s">
        <v>144</v>
      </c>
      <c r="C65" s="93" t="s">
        <v>718</v>
      </c>
    </row>
    <row r="66" spans="1:3" x14ac:dyDescent="0.25">
      <c r="A66" s="93">
        <v>6145000200</v>
      </c>
      <c r="B66" s="93" t="s">
        <v>319</v>
      </c>
      <c r="C66" s="93" t="s">
        <v>718</v>
      </c>
    </row>
    <row r="67" spans="1:3" x14ac:dyDescent="0.25">
      <c r="A67" s="93">
        <v>6146000100</v>
      </c>
      <c r="B67" s="93" t="s">
        <v>183</v>
      </c>
      <c r="C67" s="93" t="s">
        <v>719</v>
      </c>
    </row>
    <row r="68" spans="1:3" x14ac:dyDescent="0.25">
      <c r="A68" s="93">
        <v>6146000200</v>
      </c>
      <c r="B68" s="93" t="s">
        <v>637</v>
      </c>
      <c r="C68" s="93" t="s">
        <v>719</v>
      </c>
    </row>
    <row r="69" spans="1:3" x14ac:dyDescent="0.25">
      <c r="A69" s="93">
        <v>6146000300</v>
      </c>
      <c r="B69" s="93" t="s">
        <v>267</v>
      </c>
      <c r="C69" s="93" t="s">
        <v>719</v>
      </c>
    </row>
    <row r="70" spans="1:3" x14ac:dyDescent="0.25">
      <c r="A70" s="93">
        <v>6146000400</v>
      </c>
      <c r="B70" s="93" t="s">
        <v>47</v>
      </c>
      <c r="C70" s="93" t="s">
        <v>719</v>
      </c>
    </row>
    <row r="71" spans="1:3" x14ac:dyDescent="0.25">
      <c r="A71" s="93">
        <v>6146000500</v>
      </c>
      <c r="B71" s="93" t="s">
        <v>438</v>
      </c>
      <c r="C71" s="93" t="s">
        <v>719</v>
      </c>
    </row>
    <row r="72" spans="1:3" x14ac:dyDescent="0.25">
      <c r="A72" s="93">
        <v>6146000700</v>
      </c>
      <c r="B72" s="93" t="s">
        <v>335</v>
      </c>
      <c r="C72" s="93" t="s">
        <v>719</v>
      </c>
    </row>
    <row r="73" spans="1:3" x14ac:dyDescent="0.25">
      <c r="A73" s="93">
        <v>6146000800</v>
      </c>
      <c r="B73" s="93" t="s">
        <v>720</v>
      </c>
      <c r="C73" s="93" t="s">
        <v>719</v>
      </c>
    </row>
    <row r="74" spans="1:3" x14ac:dyDescent="0.25">
      <c r="A74" s="93">
        <v>6146000900</v>
      </c>
      <c r="B74" s="93" t="s">
        <v>56</v>
      </c>
      <c r="C74" s="93" t="s">
        <v>721</v>
      </c>
    </row>
    <row r="75" spans="1:3" x14ac:dyDescent="0.25">
      <c r="A75" s="93">
        <v>6146001100</v>
      </c>
      <c r="B75" s="93" t="s">
        <v>722</v>
      </c>
      <c r="C75" s="93" t="s">
        <v>719</v>
      </c>
    </row>
    <row r="76" spans="1:3" x14ac:dyDescent="0.25">
      <c r="A76" s="93">
        <v>6147000100</v>
      </c>
      <c r="B76" s="93" t="s">
        <v>501</v>
      </c>
      <c r="C76" s="93" t="s">
        <v>711</v>
      </c>
    </row>
    <row r="77" spans="1:3" x14ac:dyDescent="0.25">
      <c r="A77" s="93">
        <v>6148000000</v>
      </c>
      <c r="B77" s="93" t="s">
        <v>723</v>
      </c>
      <c r="C77" s="93" t="s">
        <v>724</v>
      </c>
    </row>
    <row r="78" spans="1:3" x14ac:dyDescent="0.25">
      <c r="A78" s="93">
        <v>6151000400</v>
      </c>
      <c r="B78" s="93" t="s">
        <v>160</v>
      </c>
      <c r="C78" s="93" t="s">
        <v>725</v>
      </c>
    </row>
    <row r="79" spans="1:3" x14ac:dyDescent="0.25">
      <c r="A79" s="93">
        <v>6152000100</v>
      </c>
      <c r="B79" s="93" t="s">
        <v>168</v>
      </c>
      <c r="C79" s="93" t="s">
        <v>726</v>
      </c>
    </row>
    <row r="80" spans="1:3" x14ac:dyDescent="0.25">
      <c r="A80" s="93">
        <v>6152000200</v>
      </c>
      <c r="B80" s="93" t="s">
        <v>164</v>
      </c>
      <c r="C80" s="93" t="s">
        <v>727</v>
      </c>
    </row>
    <row r="81" spans="1:3" x14ac:dyDescent="0.25">
      <c r="A81" s="93">
        <v>6152000300</v>
      </c>
      <c r="B81" s="93" t="s">
        <v>43</v>
      </c>
      <c r="C81" s="93" t="s">
        <v>728</v>
      </c>
    </row>
    <row r="82" spans="1:3" x14ac:dyDescent="0.25">
      <c r="A82" s="93">
        <v>6152000400</v>
      </c>
      <c r="B82" s="93" t="s">
        <v>292</v>
      </c>
      <c r="C82" s="93" t="s">
        <v>728</v>
      </c>
    </row>
    <row r="83" spans="1:3" x14ac:dyDescent="0.25">
      <c r="A83" s="93">
        <v>6152000600</v>
      </c>
      <c r="B83" s="93" t="s">
        <v>118</v>
      </c>
      <c r="C83" s="93" t="s">
        <v>729</v>
      </c>
    </row>
    <row r="84" spans="1:3" x14ac:dyDescent="0.25">
      <c r="A84" s="93">
        <v>6152000800</v>
      </c>
      <c r="B84" s="93" t="s">
        <v>491</v>
      </c>
      <c r="C84" s="93" t="s">
        <v>730</v>
      </c>
    </row>
    <row r="85" spans="1:3" x14ac:dyDescent="0.25">
      <c r="A85" s="93">
        <v>6152000900</v>
      </c>
      <c r="B85" s="93" t="s">
        <v>731</v>
      </c>
      <c r="C85" s="93" t="s">
        <v>732</v>
      </c>
    </row>
    <row r="86" spans="1:3" x14ac:dyDescent="0.25">
      <c r="A86" s="93">
        <v>6152001200</v>
      </c>
      <c r="B86" s="93" t="s">
        <v>539</v>
      </c>
      <c r="C86" s="93" t="s">
        <v>729</v>
      </c>
    </row>
    <row r="87" spans="1:3" x14ac:dyDescent="0.25">
      <c r="A87" s="93">
        <v>6152001300</v>
      </c>
      <c r="B87" s="93" t="s">
        <v>613</v>
      </c>
      <c r="C87" s="93" t="s">
        <v>729</v>
      </c>
    </row>
    <row r="88" spans="1:3" x14ac:dyDescent="0.25">
      <c r="A88" s="93">
        <v>6152009000</v>
      </c>
      <c r="B88" s="93" t="s">
        <v>733</v>
      </c>
      <c r="C88" s="93" t="s">
        <v>728</v>
      </c>
    </row>
    <row r="89" spans="1:3" x14ac:dyDescent="0.25">
      <c r="A89" s="93">
        <v>6152100100</v>
      </c>
      <c r="B89" s="93" t="s">
        <v>568</v>
      </c>
      <c r="C89" s="93" t="s">
        <v>726</v>
      </c>
    </row>
    <row r="90" spans="1:3" x14ac:dyDescent="0.25">
      <c r="A90" s="93">
        <v>6161000100</v>
      </c>
      <c r="B90" s="93" t="s">
        <v>246</v>
      </c>
      <c r="C90" s="93" t="s">
        <v>734</v>
      </c>
    </row>
    <row r="91" spans="1:3" x14ac:dyDescent="0.25">
      <c r="A91" s="93">
        <v>6161000200</v>
      </c>
      <c r="B91" s="93" t="s">
        <v>45</v>
      </c>
      <c r="C91" s="93" t="s">
        <v>735</v>
      </c>
    </row>
    <row r="92" spans="1:3" x14ac:dyDescent="0.25">
      <c r="A92" s="93">
        <v>6161000300</v>
      </c>
      <c r="B92" s="93" t="s">
        <v>264</v>
      </c>
      <c r="C92" s="93" t="s">
        <v>736</v>
      </c>
    </row>
    <row r="93" spans="1:3" x14ac:dyDescent="0.25">
      <c r="A93" s="93">
        <v>6170000000</v>
      </c>
      <c r="B93" s="93" t="s">
        <v>596</v>
      </c>
      <c r="C93" s="93" t="s">
        <v>737</v>
      </c>
    </row>
    <row r="94" spans="1:3" x14ac:dyDescent="0.25">
      <c r="A94" s="93">
        <v>6170000100</v>
      </c>
      <c r="B94" s="93" t="s">
        <v>738</v>
      </c>
      <c r="C94" s="93" t="s">
        <v>737</v>
      </c>
    </row>
    <row r="95" spans="1:3" x14ac:dyDescent="0.25">
      <c r="A95" s="93">
        <v>6180000000</v>
      </c>
      <c r="B95" s="93" t="s">
        <v>739</v>
      </c>
      <c r="C95" s="93" t="s">
        <v>740</v>
      </c>
    </row>
    <row r="96" spans="1:3" x14ac:dyDescent="0.25">
      <c r="A96" s="93">
        <v>6201000000</v>
      </c>
      <c r="B96" s="93" t="s">
        <v>741</v>
      </c>
      <c r="C96" s="93" t="s">
        <v>742</v>
      </c>
    </row>
    <row r="97" spans="1:3" x14ac:dyDescent="0.25">
      <c r="A97" s="93">
        <v>6201000100</v>
      </c>
      <c r="B97" s="93" t="s">
        <v>743</v>
      </c>
      <c r="C97" s="93" t="s">
        <v>742</v>
      </c>
    </row>
    <row r="98" spans="1:3" x14ac:dyDescent="0.25">
      <c r="A98" s="93">
        <v>6201000200</v>
      </c>
      <c r="B98" s="93" t="s">
        <v>744</v>
      </c>
      <c r="C98" s="93" t="s">
        <v>742</v>
      </c>
    </row>
    <row r="99" spans="1:3" x14ac:dyDescent="0.25">
      <c r="A99" s="93">
        <v>6201000300</v>
      </c>
      <c r="B99" s="93" t="s">
        <v>745</v>
      </c>
      <c r="C99" s="93" t="s">
        <v>742</v>
      </c>
    </row>
    <row r="100" spans="1:3" x14ac:dyDescent="0.25">
      <c r="A100" s="93">
        <v>6201000500</v>
      </c>
      <c r="B100" s="93" t="s">
        <v>746</v>
      </c>
      <c r="C100" s="93" t="s">
        <v>742</v>
      </c>
    </row>
    <row r="101" spans="1:3" x14ac:dyDescent="0.25">
      <c r="A101" s="93">
        <v>6201000700</v>
      </c>
      <c r="B101" s="93" t="s">
        <v>747</v>
      </c>
      <c r="C101" s="93" t="s">
        <v>742</v>
      </c>
    </row>
    <row r="102" spans="1:3" x14ac:dyDescent="0.25">
      <c r="A102" s="93">
        <v>6202100000</v>
      </c>
      <c r="B102" s="93" t="s">
        <v>748</v>
      </c>
      <c r="C102" s="93" t="s">
        <v>749</v>
      </c>
    </row>
    <row r="103" spans="1:3" x14ac:dyDescent="0.25">
      <c r="A103" s="93">
        <v>6202100100</v>
      </c>
      <c r="B103" s="93" t="s">
        <v>750</v>
      </c>
      <c r="C103" s="93" t="s">
        <v>749</v>
      </c>
    </row>
    <row r="104" spans="1:3" x14ac:dyDescent="0.25">
      <c r="A104" s="93">
        <v>6202100200</v>
      </c>
      <c r="B104" s="93" t="s">
        <v>751</v>
      </c>
      <c r="C104" s="93" t="s">
        <v>749</v>
      </c>
    </row>
    <row r="105" spans="1:3" x14ac:dyDescent="0.25">
      <c r="A105" s="93">
        <v>6202100300</v>
      </c>
      <c r="B105" s="93" t="s">
        <v>752</v>
      </c>
      <c r="C105" s="93" t="s">
        <v>749</v>
      </c>
    </row>
    <row r="106" spans="1:3" x14ac:dyDescent="0.25">
      <c r="A106" s="93">
        <v>6202100500</v>
      </c>
      <c r="B106" s="93" t="s">
        <v>753</v>
      </c>
      <c r="C106" s="93" t="s">
        <v>749</v>
      </c>
    </row>
    <row r="107" spans="1:3" x14ac:dyDescent="0.25">
      <c r="A107" s="93">
        <v>6202100700</v>
      </c>
      <c r="B107" s="93" t="s">
        <v>754</v>
      </c>
      <c r="C107" s="93" t="s">
        <v>749</v>
      </c>
    </row>
    <row r="108" spans="1:3" x14ac:dyDescent="0.25">
      <c r="A108" s="93">
        <v>6202200000</v>
      </c>
      <c r="B108" s="93" t="s">
        <v>755</v>
      </c>
      <c r="C108" s="93" t="s">
        <v>749</v>
      </c>
    </row>
    <row r="109" spans="1:3" x14ac:dyDescent="0.25">
      <c r="A109" s="93">
        <v>6202200100</v>
      </c>
      <c r="B109" s="93" t="s">
        <v>756</v>
      </c>
      <c r="C109" s="93" t="s">
        <v>749</v>
      </c>
    </row>
    <row r="110" spans="1:3" x14ac:dyDescent="0.25">
      <c r="A110" s="93">
        <v>6202200200</v>
      </c>
      <c r="B110" s="93" t="s">
        <v>757</v>
      </c>
      <c r="C110" s="93" t="s">
        <v>749</v>
      </c>
    </row>
    <row r="111" spans="1:3" x14ac:dyDescent="0.25">
      <c r="A111" s="93">
        <v>6202200300</v>
      </c>
      <c r="B111" s="93" t="s">
        <v>758</v>
      </c>
      <c r="C111" s="93" t="s">
        <v>749</v>
      </c>
    </row>
    <row r="112" spans="1:3" x14ac:dyDescent="0.25">
      <c r="A112" s="93">
        <v>6207000000</v>
      </c>
      <c r="B112" s="93" t="s">
        <v>759</v>
      </c>
      <c r="C112" s="93" t="s">
        <v>760</v>
      </c>
    </row>
    <row r="113" spans="1:3" x14ac:dyDescent="0.25">
      <c r="A113" s="93">
        <v>6208000000</v>
      </c>
      <c r="B113" s="93" t="s">
        <v>761</v>
      </c>
      <c r="C113" s="93" t="s">
        <v>762</v>
      </c>
    </row>
    <row r="114" spans="1:3" x14ac:dyDescent="0.25">
      <c r="A114" s="93">
        <v>6211000000</v>
      </c>
      <c r="B114" s="93" t="s">
        <v>763</v>
      </c>
      <c r="C114" s="93" t="s">
        <v>764</v>
      </c>
    </row>
    <row r="115" spans="1:3" x14ac:dyDescent="0.25">
      <c r="A115" s="93">
        <v>6211000100</v>
      </c>
      <c r="B115" s="93" t="s">
        <v>765</v>
      </c>
      <c r="C115" s="93" t="s">
        <v>764</v>
      </c>
    </row>
    <row r="116" spans="1:3" x14ac:dyDescent="0.25">
      <c r="A116" s="93">
        <v>6211000200</v>
      </c>
      <c r="B116" s="93" t="s">
        <v>766</v>
      </c>
      <c r="C116" s="93" t="s">
        <v>764</v>
      </c>
    </row>
    <row r="117" spans="1:3" x14ac:dyDescent="0.25">
      <c r="A117" s="93">
        <v>6212100000</v>
      </c>
      <c r="B117" s="93" t="s">
        <v>767</v>
      </c>
      <c r="C117" s="93" t="s">
        <v>768</v>
      </c>
    </row>
    <row r="118" spans="1:3" x14ac:dyDescent="0.25">
      <c r="A118" s="93">
        <v>6212200000</v>
      </c>
      <c r="B118" s="93" t="s">
        <v>769</v>
      </c>
      <c r="C118" s="93" t="s">
        <v>768</v>
      </c>
    </row>
    <row r="119" spans="1:3" x14ac:dyDescent="0.25">
      <c r="A119" s="93">
        <v>6218000000</v>
      </c>
      <c r="B119" s="93" t="s">
        <v>770</v>
      </c>
      <c r="C119" s="93" t="s">
        <v>771</v>
      </c>
    </row>
    <row r="120" spans="1:3" x14ac:dyDescent="0.25">
      <c r="A120" s="93">
        <v>6219000000</v>
      </c>
      <c r="B120" s="93" t="s">
        <v>772</v>
      </c>
      <c r="C120" s="93" t="s">
        <v>773</v>
      </c>
    </row>
    <row r="121" spans="1:3" x14ac:dyDescent="0.25">
      <c r="A121" s="93">
        <v>6221000000</v>
      </c>
      <c r="B121" s="93" t="s">
        <v>774</v>
      </c>
      <c r="C121" s="93" t="s">
        <v>775</v>
      </c>
    </row>
    <row r="122" spans="1:3" x14ac:dyDescent="0.25">
      <c r="A122" s="93">
        <v>6222000000</v>
      </c>
      <c r="B122" s="93" t="s">
        <v>776</v>
      </c>
      <c r="C122" s="93" t="s">
        <v>777</v>
      </c>
    </row>
    <row r="123" spans="1:3" x14ac:dyDescent="0.25">
      <c r="A123" s="93">
        <v>6223000000</v>
      </c>
      <c r="B123" s="93" t="s">
        <v>778</v>
      </c>
      <c r="C123" s="93" t="s">
        <v>779</v>
      </c>
    </row>
    <row r="124" spans="1:3" x14ac:dyDescent="0.25">
      <c r="A124" s="93">
        <v>6230000000</v>
      </c>
      <c r="B124" s="93" t="s">
        <v>780</v>
      </c>
      <c r="C124" s="93" t="s">
        <v>781</v>
      </c>
    </row>
    <row r="125" spans="1:3" x14ac:dyDescent="0.25">
      <c r="A125" s="93">
        <v>6230000100</v>
      </c>
      <c r="B125" s="93" t="s">
        <v>782</v>
      </c>
      <c r="C125" s="93" t="s">
        <v>781</v>
      </c>
    </row>
    <row r="126" spans="1:3" x14ac:dyDescent="0.25">
      <c r="A126" s="93">
        <v>6230000300</v>
      </c>
      <c r="B126" s="93" t="s">
        <v>783</v>
      </c>
      <c r="C126" s="93" t="s">
        <v>781</v>
      </c>
    </row>
    <row r="127" spans="1:3" x14ac:dyDescent="0.25">
      <c r="A127" s="93">
        <v>6230000400</v>
      </c>
      <c r="B127" s="93" t="s">
        <v>784</v>
      </c>
      <c r="C127" s="93" t="s">
        <v>781</v>
      </c>
    </row>
    <row r="128" spans="1:3" x14ac:dyDescent="0.25">
      <c r="A128" s="93">
        <v>6230000600</v>
      </c>
      <c r="B128" s="93" t="s">
        <v>785</v>
      </c>
      <c r="C128" s="93" t="s">
        <v>781</v>
      </c>
    </row>
    <row r="129" spans="1:3" x14ac:dyDescent="0.25">
      <c r="A129" s="93">
        <v>6230000700</v>
      </c>
      <c r="B129" s="93" t="s">
        <v>786</v>
      </c>
      <c r="C129" s="93" t="s">
        <v>781</v>
      </c>
    </row>
    <row r="130" spans="1:3" x14ac:dyDescent="0.25">
      <c r="A130" s="93">
        <v>6230001000</v>
      </c>
      <c r="B130" s="93" t="s">
        <v>787</v>
      </c>
      <c r="C130" s="93" t="s">
        <v>781</v>
      </c>
    </row>
    <row r="131" spans="1:3" x14ac:dyDescent="0.25">
      <c r="A131" s="93">
        <v>6230001100</v>
      </c>
      <c r="B131" s="93" t="s">
        <v>788</v>
      </c>
      <c r="C131" s="93" t="s">
        <v>781</v>
      </c>
    </row>
    <row r="132" spans="1:3" x14ac:dyDescent="0.25">
      <c r="A132" s="93">
        <v>6230001200</v>
      </c>
      <c r="B132" s="93" t="s">
        <v>789</v>
      </c>
      <c r="C132" s="93" t="s">
        <v>781</v>
      </c>
    </row>
    <row r="133" spans="1:3" x14ac:dyDescent="0.25">
      <c r="A133" s="93">
        <v>6230001300</v>
      </c>
      <c r="B133" s="93" t="s">
        <v>790</v>
      </c>
      <c r="C133" s="93" t="s">
        <v>781</v>
      </c>
    </row>
    <row r="134" spans="1:3" x14ac:dyDescent="0.25">
      <c r="A134" s="93">
        <v>6241000000</v>
      </c>
      <c r="B134" s="93" t="s">
        <v>791</v>
      </c>
      <c r="C134" s="93" t="s">
        <v>792</v>
      </c>
    </row>
    <row r="135" spans="1:3" x14ac:dyDescent="0.25">
      <c r="A135" s="93">
        <v>6241000100</v>
      </c>
      <c r="B135" s="93" t="s">
        <v>793</v>
      </c>
      <c r="C135" s="93" t="s">
        <v>792</v>
      </c>
    </row>
    <row r="136" spans="1:3" x14ac:dyDescent="0.25">
      <c r="A136" s="93">
        <v>6400000100</v>
      </c>
      <c r="B136" s="93" t="s">
        <v>794</v>
      </c>
      <c r="C136" s="93" t="s">
        <v>795</v>
      </c>
    </row>
    <row r="137" spans="1:3" x14ac:dyDescent="0.25">
      <c r="A137" s="93">
        <v>6400000300</v>
      </c>
      <c r="B137" s="93" t="s">
        <v>796</v>
      </c>
      <c r="C137" s="93" t="s">
        <v>795</v>
      </c>
    </row>
    <row r="138" spans="1:3" x14ac:dyDescent="0.25">
      <c r="A138" s="93">
        <v>6400000400</v>
      </c>
      <c r="B138" s="93" t="s">
        <v>628</v>
      </c>
      <c r="C138" s="93" t="s">
        <v>795</v>
      </c>
    </row>
    <row r="139" spans="1:3" x14ac:dyDescent="0.25">
      <c r="A139" s="93">
        <v>6400000500</v>
      </c>
      <c r="B139" s="93" t="s">
        <v>631</v>
      </c>
      <c r="C139" s="93" t="s">
        <v>795</v>
      </c>
    </row>
    <row r="140" spans="1:3" x14ac:dyDescent="0.25">
      <c r="A140" s="93">
        <v>6400000600</v>
      </c>
      <c r="B140" s="93" t="s">
        <v>623</v>
      </c>
      <c r="C140" s="93" t="s">
        <v>795</v>
      </c>
    </row>
    <row r="141" spans="1:3" x14ac:dyDescent="0.25">
      <c r="A141" s="93">
        <v>6400009000</v>
      </c>
      <c r="B141" s="93" t="s">
        <v>622</v>
      </c>
      <c r="C141" s="93" t="s">
        <v>795</v>
      </c>
    </row>
    <row r="142" spans="1:3" x14ac:dyDescent="0.25">
      <c r="A142" s="93">
        <v>6420000000</v>
      </c>
      <c r="B142" s="93" t="s">
        <v>797</v>
      </c>
      <c r="C142" s="93" t="s">
        <v>798</v>
      </c>
    </row>
    <row r="143" spans="1:3" x14ac:dyDescent="0.25">
      <c r="A143" s="93">
        <v>6430000200</v>
      </c>
      <c r="B143" s="93" t="s">
        <v>597</v>
      </c>
      <c r="C143" s="93" t="s">
        <v>799</v>
      </c>
    </row>
    <row r="144" spans="1:3" x14ac:dyDescent="0.25">
      <c r="A144" s="93">
        <v>6430000400</v>
      </c>
      <c r="B144" s="93" t="s">
        <v>800</v>
      </c>
      <c r="C144" s="93" t="s">
        <v>799</v>
      </c>
    </row>
    <row r="145" spans="1:3" x14ac:dyDescent="0.25">
      <c r="A145" s="93">
        <v>6430000600</v>
      </c>
      <c r="B145" s="93" t="s">
        <v>801</v>
      </c>
      <c r="C145" s="93" t="s">
        <v>799</v>
      </c>
    </row>
    <row r="146" spans="1:3" x14ac:dyDescent="0.25">
      <c r="A146" s="93">
        <v>6430000700</v>
      </c>
      <c r="B146" s="93" t="s">
        <v>558</v>
      </c>
      <c r="C146" s="93" t="s">
        <v>799</v>
      </c>
    </row>
    <row r="147" spans="1:3" x14ac:dyDescent="0.25">
      <c r="A147" s="93">
        <v>6430000800</v>
      </c>
      <c r="B147" s="93" t="s">
        <v>644</v>
      </c>
      <c r="C147" s="93" t="s">
        <v>799</v>
      </c>
    </row>
    <row r="148" spans="1:3" x14ac:dyDescent="0.25">
      <c r="A148" s="93">
        <v>6430009000</v>
      </c>
      <c r="B148" s="93" t="s">
        <v>802</v>
      </c>
      <c r="C148" s="93" t="s">
        <v>799</v>
      </c>
    </row>
    <row r="149" spans="1:3" x14ac:dyDescent="0.25">
      <c r="A149" s="93">
        <v>6440000100</v>
      </c>
      <c r="B149" s="93" t="s">
        <v>803</v>
      </c>
      <c r="C149" s="93" t="s">
        <v>804</v>
      </c>
    </row>
    <row r="150" spans="1:3" x14ac:dyDescent="0.25">
      <c r="A150" s="93">
        <v>6440000200</v>
      </c>
      <c r="B150" s="93" t="s">
        <v>805</v>
      </c>
      <c r="C150" s="93" t="s">
        <v>806</v>
      </c>
    </row>
    <row r="151" spans="1:3" x14ac:dyDescent="0.25">
      <c r="A151" s="93">
        <v>6440000300</v>
      </c>
      <c r="B151" s="93" t="s">
        <v>807</v>
      </c>
      <c r="C151" s="93" t="s">
        <v>808</v>
      </c>
    </row>
    <row r="152" spans="1:3" x14ac:dyDescent="0.25">
      <c r="A152" s="93">
        <v>6440000400</v>
      </c>
      <c r="B152" s="93" t="s">
        <v>809</v>
      </c>
      <c r="C152" s="93" t="s">
        <v>810</v>
      </c>
    </row>
    <row r="153" spans="1:3" x14ac:dyDescent="0.25">
      <c r="A153" s="93">
        <v>6490000000</v>
      </c>
      <c r="B153" s="93" t="s">
        <v>811</v>
      </c>
      <c r="C153" s="93" t="s">
        <v>812</v>
      </c>
    </row>
    <row r="154" spans="1:3" x14ac:dyDescent="0.25">
      <c r="A154" s="93">
        <v>6500000000</v>
      </c>
      <c r="B154" s="93" t="s">
        <v>813</v>
      </c>
      <c r="C154" s="93" t="s">
        <v>814</v>
      </c>
    </row>
    <row r="155" spans="1:3" x14ac:dyDescent="0.25">
      <c r="A155" s="93">
        <v>6500001200</v>
      </c>
      <c r="B155" s="93" t="s">
        <v>815</v>
      </c>
      <c r="C155" s="93" t="s">
        <v>814</v>
      </c>
    </row>
    <row r="156" spans="1:3" x14ac:dyDescent="0.25">
      <c r="A156" s="93">
        <v>6500001500</v>
      </c>
      <c r="B156" s="93" t="s">
        <v>816</v>
      </c>
      <c r="C156" s="93" t="s">
        <v>817</v>
      </c>
    </row>
    <row r="157" spans="1:3" x14ac:dyDescent="0.25">
      <c r="A157" s="93">
        <v>6540000000</v>
      </c>
      <c r="B157" s="93" t="s">
        <v>818</v>
      </c>
      <c r="C157" s="93" t="s">
        <v>819</v>
      </c>
    </row>
    <row r="158" spans="1:3" x14ac:dyDescent="0.25">
      <c r="A158" s="93">
        <v>6570000000</v>
      </c>
      <c r="B158" s="93" t="s">
        <v>820</v>
      </c>
      <c r="C158" s="93" t="s">
        <v>821</v>
      </c>
    </row>
    <row r="159" spans="1:3" x14ac:dyDescent="0.25">
      <c r="A159" s="93">
        <v>6570000200</v>
      </c>
      <c r="B159" s="93" t="s">
        <v>822</v>
      </c>
      <c r="C159" s="93" t="s">
        <v>821</v>
      </c>
    </row>
    <row r="160" spans="1:3" x14ac:dyDescent="0.25">
      <c r="A160" s="93">
        <v>6570000400</v>
      </c>
      <c r="B160" s="93" t="s">
        <v>823</v>
      </c>
      <c r="C160" s="93" t="s">
        <v>821</v>
      </c>
    </row>
    <row r="161" spans="1:3" x14ac:dyDescent="0.25">
      <c r="A161" s="93">
        <v>6570009000</v>
      </c>
      <c r="B161" s="93" t="s">
        <v>824</v>
      </c>
      <c r="C161" s="93" t="s">
        <v>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Manager/>
  <Company>CVO Encora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Judith Massar</dc:creator>
  <cp:keywords/>
  <dc:description/>
  <cp:lastModifiedBy>Erik Bongers</cp:lastModifiedBy>
  <cp:revision/>
  <dcterms:created xsi:type="dcterms:W3CDTF">2026-03-11T14:07:00Z</dcterms:created>
  <dcterms:modified xsi:type="dcterms:W3CDTF">2026-05-23T10:40:36Z</dcterms:modified>
  <cp:category/>
  <cp:contentStatus/>
</cp:coreProperties>
</file>